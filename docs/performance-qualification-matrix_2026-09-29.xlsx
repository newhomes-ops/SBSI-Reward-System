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Rewards_Program" sheetId="2" state="visible" r:id="rId4"/>
    <sheet name="Dashboard" sheetId="3" state="visible" r:id="rId5"/>
    <sheet name="Merit_Scorecard" sheetId="4" state="visible" r:id="rId6"/>
    <sheet name="Qualification_Log" sheetId="5" state="visible" r:id="rId7"/>
    <sheet name="Recognition_Log" sheetId="6" state="visible" r:id="rId8"/>
    <sheet name="Corrective_Action_Log" sheetId="7" state="visible" r:id="rId9"/>
    <sheet name="Employee_Master" sheetId="8" state="visible" r:id="rId10"/>
    <sheet name="Reference_Data" sheetId="9" state="visible" r:id="rId11"/>
  </sheets>
  <definedNames>
    <definedName function="false" hidden="true" localSheetId="6" name="_xlnm._FilterDatabase" vbProcedure="false">Corrective_Action_Log!$A$4:$U$304</definedName>
    <definedName function="false" hidden="true" localSheetId="7" name="_xlnm._FilterDatabase" vbProcedure="false">Employee_Master!$A$4:$H$104</definedName>
    <definedName function="false" hidden="true" localSheetId="3" name="_xlnm._FilterDatabase" vbProcedure="false">Merit_Scorecard!$A$6:$O$106</definedName>
    <definedName function="false" hidden="true" localSheetId="4" name="_xlnm._FilterDatabase" vbProcedure="false">Qualification_Log!$A$4:$W$304</definedName>
    <definedName function="false" hidden="true" localSheetId="5" name="_xlnm._FilterDatabase" vbProcedure="false">Recognition_Log!$A$4:$R$304</definedName>
    <definedName function="false" hidden="false" name="List_ActionStatus" vbProcedure="false">Reference_Data!$AG$5:$AG$7</definedName>
    <definedName function="false" hidden="false" name="List_Approval" vbProcedure="false">Reference_Data!$AA$5:$AA$7</definedName>
    <definedName function="false" hidden="false" name="List_Award" vbProcedure="false">Reference_Data!$AC$5:$AC$14</definedName>
    <definedName function="false" hidden="false" name="List_CertLevel" vbProcedure="false">Reference_Data!$E$5:$E$14</definedName>
    <definedName function="false" hidden="false" name="List_COQ" vbProcedure="false">Reference_Data!$L$5:$L$14</definedName>
    <definedName function="false" hidden="false" name="List_CorrectiveAction" vbProcedure="false">Reference_Data!$S$5:$S$14</definedName>
    <definedName function="false" hidden="false" name="List_Department" vbProcedure="false">Reference_Data!$A$5:$A$24</definedName>
    <definedName function="false" hidden="false" name="List_EmployeeID" vbProcedure="false">Employee_Master!$A$5:$A$104</definedName>
    <definedName function="false" hidden="false" name="List_EmpStatus" vbProcedure="false">Reference_Data!$AI$5:$AI$6</definedName>
    <definedName function="false" hidden="false" name="List_EventType" vbProcedure="false">Reference_Data!$W$5:$W$14</definedName>
    <definedName function="false" hidden="false" name="List_Infraction" vbProcedure="false">Reference_Data!$AE$5:$AE$14</definedName>
    <definedName function="false" hidden="false" name="List_Process" vbProcedure="false">Reference_Data!$C$5:$C$29</definedName>
    <definedName function="false" hidden="false" name="List_Recognition" vbProcedure="false">Reference_Data!$O$5:$O$14</definedName>
    <definedName function="false" hidden="false" name="List_Severity" vbProcedure="false">Reference_Data!$H$5:$H$14</definedName>
    <definedName function="false" hidden="false" name="List_YesNo" vbProcedure="false">Reference_Data!$Y$5:$Y$6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<sst xmlns="http://schemas.openxmlformats.org/spreadsheetml/2006/main" count="833" uniqueCount="503">
  <si>
    <t xml:space="preserve">Performance Qualification &amp; Recognition Matrix — User Guide</t>
  </si>
  <si>
    <t xml:space="preserve">Draft v0.1 · 2026-09-29 · Sample data included for illustration (fictional employees) — clear log input cells before live use.</t>
  </si>
  <si>
    <t xml:space="preserve">Workbook Map</t>
  </si>
  <si>
    <t xml:space="preserve">Rewards_Program</t>
  </si>
  <si>
    <t xml:space="preserve">Concept of the PRIDE recognition &amp; accountability program (purpose, categories, cross-department recognition, promotional activities, governance).</t>
  </si>
  <si>
    <t xml:space="preserve">Dashboard</t>
  </si>
  <si>
    <t xml:space="preserve">KPI tiles, department summary, COQ by category, charts. Read-only.</t>
  </si>
  <si>
    <t xml:space="preserve">Merit_Scorecard</t>
  </si>
  <si>
    <t xml:space="preserve">Per-employee net merit, standing and reward eligibility for the review period (set Period Start/End in yellow cells).</t>
  </si>
  <si>
    <t xml:space="preserve">Qualification_Log</t>
  </si>
  <si>
    <t xml:space="preserve">Process Trainer log: certifications, assessments, quality incidents with Cost of Quality (COQ), severity and decertification.</t>
  </si>
  <si>
    <t xml:space="preserve">Recognition_Log</t>
  </si>
  <si>
    <t xml:space="preserve">Merit side: nominations, Cross-Department Recognition, Division Lead approval, awards.</t>
  </si>
  <si>
    <t xml:space="preserve">Corrective_Action_Log</t>
  </si>
  <si>
    <t xml:space="preserve">Accountability side: progressive corrective actions with due-process dates and demerit points.</t>
  </si>
  <si>
    <t xml:space="preserve">Employee_Master</t>
  </si>
  <si>
    <t xml:space="preserve">Employee register. Employee ID is the key linking every log (like a database primary key).</t>
  </si>
  <si>
    <t xml:space="preserve">Reference_Data</t>
  </si>
  <si>
    <t xml:space="preserve">Master lists for all dropdowns, point values, severity definitions and scoring thresholds (yellow).</t>
  </si>
  <si>
    <t xml:space="preserve">How to Use</t>
  </si>
  <si>
    <t xml:space="preserve">Step 1</t>
  </si>
  <si>
    <t xml:space="preserve">Add employees to Employee_Master (unique Employee ID, Department, Division Lead, Process Trainer).</t>
  </si>
  <si>
    <t xml:space="preserve">Step 2</t>
  </si>
  <si>
    <t xml:space="preserve">Process Trainer logs each certification in Qualification_Log (Event Type = Initial Certification / Recertification / Reinstatement, Certification Level, Score, Certification Date). Expiry and Status calculate automatically.</t>
  </si>
  <si>
    <t xml:space="preserve">Step 3</t>
  </si>
  <si>
    <t xml:space="preserve">For each quality event, log Event Type = Quality Incident with COQ Category, description, COQ Amount (PHP) and Severity. The Recommended Action appears automatically.</t>
  </si>
  <si>
    <t xml:space="preserve">Step 4</t>
  </si>
  <si>
    <t xml:space="preserve">Record the formal action in Corrective_Action_Log, referencing the Log ID. Enter Decision Date only after due process — demerits count from that point.</t>
  </si>
  <si>
    <t xml:space="preserve">Step 5</t>
  </si>
  <si>
    <t xml:space="preserve">To decertify, log a row with Event Type = Decertification, Decertification = Yes, Date and Reason. The original certification row changes to 'Decertified'. Reinstate by logging a new certification row.</t>
  </si>
  <si>
    <t xml:space="preserve">Step 6</t>
  </si>
  <si>
    <t xml:space="preserve">Log recognitions in Recognition_Log. Cross-Department is flagged automatically; Division Lead must approve before points credit.</t>
  </si>
  <si>
    <t xml:space="preserve">Step 7</t>
  </si>
  <si>
    <t xml:space="preserve">Review Merit_Scorecard and Dashboard monthly; calibrate thresholds on Reference_Data quarterly.</t>
  </si>
  <si>
    <t xml:space="preserve">Conventions</t>
  </si>
  <si>
    <t xml:space="preserve">Navy header</t>
  </si>
  <si>
    <t xml:space="preserve">Input column — type or select from dropdown.</t>
  </si>
  <si>
    <t xml:space="preserve">Grey header / shaded cell</t>
  </si>
  <si>
    <t xml:space="preserve">Formula — do not overwrite.</t>
  </si>
  <si>
    <t xml:space="preserve">Blue text, yellow fill</t>
  </si>
  <si>
    <t xml:space="preserve">Editable parameter (Reference_Data, Scorecard period).</t>
  </si>
  <si>
    <t xml:space="preserve">IDs</t>
  </si>
  <si>
    <t xml:space="preserve">Enter sequential IDs manually (QL-0001, RC-0001, CA-0001). Do not reuse or renumber — other logs reference them.</t>
  </si>
  <si>
    <t xml:space="preserve">Capacity</t>
  </si>
  <si>
    <t xml:space="preserve">Logs are pre-formatted for 300 rows (rows 5–304); Employee_Master and Scorecard for 100 employees. To extend, copy the last row's formulas down and widen formula ranges.</t>
  </si>
  <si>
    <t xml:space="preserve">Status values</t>
  </si>
  <si>
    <t xml:space="preserve">Active · Expired (past expiry — recertify) · Decertified · Superseded (replaced by a newer certification for the same process) · Decertification Record.</t>
  </si>
  <si>
    <t xml:space="preserve">Cautions</t>
  </si>
  <si>
    <t xml:space="preserve">Multi-user</t>
  </si>
  <si>
    <t xml:space="preserve">A desktop Excel file is not suited to simultaneous editing. Host on SharePoint / OneDrive (Excel Online co-authoring) or migrate the tables to a database / Salesforce object when volume grows.</t>
  </si>
  <si>
    <t xml:space="preserve">HR / Legal</t>
  </si>
  <si>
    <t xml:space="preserve">Corrective action ladder, point values and due-process steps are proposals. Validate with HR and applicable labor regulations before use; this workbook is a tracking tool, not the official disciplinary record.</t>
  </si>
  <si>
    <t xml:space="preserve">Data privacy</t>
  </si>
  <si>
    <t xml:space="preserve">Contains personnel performance and disciplinary data. Restrict access (protect sheets / limit sharing) to Process Trainers, Leads, Division Leads and HR.</t>
  </si>
  <si>
    <t xml:space="preserve">Scoring</t>
  </si>
  <si>
    <t xml:space="preserve">Point values and thresholds are uncalibrated starting points. Review after the first pilot quarter.</t>
  </si>
  <si>
    <t xml:space="preserve">PRIDE Program — Performance, Recognition, Integrity, Dedication &amp; Excellence</t>
  </si>
  <si>
    <t xml:space="preserve">Concept Draft v0.1 · Employee Recognition and Performance Accountability Program · Prepared 2026-09-29 · For review by Division Leads and HR</t>
  </si>
  <si>
    <t xml:space="preserve">Program name is a proposed working title. All point values and thresholds are proposals for calibration and are maintained on the Reference_Data tab.</t>
  </si>
  <si>
    <t xml:space="preserve">1. Purpose</t>
  </si>
  <si>
    <t xml:space="preserve">Establish a fair, transparent and data-driven framework that recognizes employees who consistently deliver quality work, support other teams and improve processes — and that applies consistent, documented and proportionate corrective action when performance or quality standards are not met.</t>
  </si>
  <si>
    <t xml:space="preserve">The program links three existing disciplines into one record: (a) process qualification and certification managed by Process Trainers, (b) Cost of Quality (COQ) tracking, and (c) recognition and corrective action.</t>
  </si>
  <si>
    <t xml:space="preserve">2. Objectives</t>
  </si>
  <si>
    <t xml:space="preserve">• Increase First Pass Yield and reduce Cost of Poor Quality (internal and external failure costs).</t>
  </si>
  <si>
    <t xml:space="preserve">• Ensure every employee performing a process holds a current, valid certification for that process.</t>
  </si>
  <si>
    <t xml:space="preserve">• Recognize high performance, mentorship, innovation and cross-department collaboration in a timely and visible manner.</t>
  </si>
  <si>
    <t xml:space="preserve">• Apply corrective action consistently across departments, following due process.</t>
  </si>
  <si>
    <t xml:space="preserve">• Give leadership a single, auditable view of competency, quality cost and employee standing.</t>
  </si>
  <si>
    <t xml:space="preserve">3. Scope &amp; Eligibility</t>
  </si>
  <si>
    <t xml:space="preserve">• Covers all regular employees in operations departments who perform certified processes (e.g., Design, Permitting, Interconnection, Quality Assurance, Project Management).</t>
  </si>
  <si>
    <t xml:space="preserve">• Employees must be Active in Employee_Master and must not be under an open Final Written Warning or Suspension to receive rewards.</t>
  </si>
  <si>
    <t xml:space="preserve">• Reward Eligibility is set automatically on the Merit_Scorecard: an employee is Ineligible for the period if they have any Critical incident or Demerit Points at or above the ineligibility threshold.</t>
  </si>
  <si>
    <t xml:space="preserve">• Process Trainers, Team Leads and Division Leads may be nominated but may not approve their own recognition.</t>
  </si>
  <si>
    <t xml:space="preserve">4. Guiding Principles</t>
  </si>
  <si>
    <t xml:space="preserve">• Fairness &amp; Consistency — same criteria, point values and severity definitions across all departments.</t>
  </si>
  <si>
    <t xml:space="preserve">• Data-Driven — every recognition and corrective action is logged with evidence and traceable to a Log ID.</t>
  </si>
  <si>
    <t xml:space="preserve">• Timeliness — recognitions are processed within 10 working days of nomination; corrective actions are decided promptly after due process.</t>
  </si>
  <si>
    <t xml:space="preserve">• Due Process — no demerit takes effect until a Decision Date is recorded after a Notice to Explain and the employee's response.</t>
  </si>
  <si>
    <t xml:space="preserve">• Development First — the aim of corrective action is competency recovery (coaching, retraining, recertification), not punishment.</t>
  </si>
  <si>
    <t xml:space="preserve">5. Recognition Categories (Merit)</t>
  </si>
  <si>
    <t xml:space="preserve">Point values below are pulled live from Reference_Data; changing them there updates this table and all scoring.</t>
  </si>
  <si>
    <t xml:space="preserve">Recognition Type</t>
  </si>
  <si>
    <t xml:space="preserve">Criteria</t>
  </si>
  <si>
    <t xml:space="preserve">Merit Points</t>
  </si>
  <si>
    <t xml:space="preserve">6. Cross-Department Recognition</t>
  </si>
  <si>
    <t xml:space="preserve">Rewards may be given across departments when an employee provides significant assistance, support or contribution that helps another team or department achieve its goals or successfully complete an activity or project. Such rewards are subject to review and approval by the respective Division Lead.</t>
  </si>
  <si>
    <t xml:space="preserve">Process:</t>
  </si>
  <si>
    <t xml:space="preserve">1. Nomination — any Team Lead or employee of the benefiting department submits a nomination describing the assistance, the goal or project supported, and the measurable outcome.</t>
  </si>
  <si>
    <t xml:space="preserve">2. Logging — the nomination is entered in Recognition_Log with Recognition Type = 'Cross-Department Recognition' and the Beneficiary Department. The Cross-Department flag sets automatically when the Beneficiary Department differs from the employee's Home Department.</t>
  </si>
  <si>
    <t xml:space="preserve">3. Review — the Division Lead of the benefiting department validates the contribution and impact. (Missing approver names are highlighted in red.)</t>
  </si>
  <si>
    <t xml:space="preserve">4. Approval — the Division Lead sets Approval Status and Approval Date. Merit points credit only when Approved.</t>
  </si>
  <si>
    <t xml:space="preserve">5. Award &amp; Communication — the award is issued, and the recognition is shared with both departments.</t>
  </si>
  <si>
    <t xml:space="preserve">Qualifying contributions (examples): covering critical workload to meet a builder or utility deadline; sharing technical expertise that resolves another team's blocker; co-developing a tool, template or checklist adopted by another department; supporting a launch, audit or backlog-clearance initiative.</t>
  </si>
  <si>
    <t xml:space="preserve">7. Performance Accountability Framework (Demerit)</t>
  </si>
  <si>
    <t xml:space="preserve">Quality events are logged in Qualification_Log with COQ category and amount. Severity determines the recommended corrective action, which is then formally recorded in Corrective_Action_Log.</t>
  </si>
  <si>
    <t xml:space="preserve">Severity</t>
  </si>
  <si>
    <t xml:space="preserve">Definition</t>
  </si>
  <si>
    <t xml:space="preserve">Recommended Action</t>
  </si>
  <si>
    <t xml:space="preserve">Progressive corrective action ladder (demerit points from Reference_Data):</t>
  </si>
  <si>
    <t xml:space="preserve">Corrective Action</t>
  </si>
  <si>
    <t xml:space="preserve">Description</t>
  </si>
  <si>
    <t xml:space="preserve">Demerit Points</t>
  </si>
  <si>
    <t xml:space="preserve">Decertification &amp; Recertification:</t>
  </si>
  <si>
    <t xml:space="preserve">• A Critical incident, or repeated Major incidents on the same process, triggers a Decertification Review by the Process Trainer.</t>
  </si>
  <si>
    <t xml:space="preserve">• On decertification, the employee is removed from independent work on that process, completes retraining, and must be reassessed by the Recertification Due date.</t>
  </si>
  <si>
    <t xml:space="preserve">• Reinstatement is logged as a new certification row; the prior record is automatically marked Superseded.</t>
  </si>
  <si>
    <t xml:space="preserve">• Due process: Notice to Explain → Employee Response → Decision, with HR review for Written Warning and above. Final wording must be aligned with company HR policy and applicable labor regulations.</t>
  </si>
  <si>
    <t xml:space="preserve">8. Merit Scoring &amp; Performance Standing</t>
  </si>
  <si>
    <t xml:space="preserve">• Net Merit Score = Merit Points (approved recognitions) − Demerit Points (decided, non-voided corrective actions) within the review period.</t>
  </si>
  <si>
    <t xml:space="preserve">• Standing: Exemplary / Commendable / Meets Standard / Needs Improvement, based on thresholds on Reference_Data.</t>
  </si>
  <si>
    <t xml:space="preserve">• Override: any Critical incident or decertification in the period sets Standing to 'Under Review'. A high reward score cannot cancel a Critical quality event.</t>
  </si>
  <si>
    <t xml:space="preserve">• Recommended review cadence: monthly scorecard review by Process Trainers; quarterly calibration by Division Leads; annual program review with HR.</t>
  </si>
  <si>
    <t xml:space="preserve">9. Promotional &amp; Engagement Activities</t>
  </si>
  <si>
    <t xml:space="preserve">Development of promotional activities to increase employee awareness, motivation and participation:</t>
  </si>
  <si>
    <t xml:space="preserve">Activity</t>
  </si>
  <si>
    <t xml:space="preserve">Frequency</t>
  </si>
  <si>
    <t xml:space="preserve">Program Launch Kick-off</t>
  </si>
  <si>
    <t xml:space="preserve">Town hall introducing PRIDE: objectives, categories, how to nominate, scoring and due process.</t>
  </si>
  <si>
    <t xml:space="preserve">Once (launch)</t>
  </si>
  <si>
    <t xml:space="preserve">Wall of Excellence</t>
  </si>
  <si>
    <t xml:space="preserve">Physical / digital board featuring approved recognitions and zero-defect milestones.</t>
  </si>
  <si>
    <t xml:space="preserve">Monthly update</t>
  </si>
  <si>
    <t xml:space="preserve">Kudos Cards</t>
  </si>
  <si>
    <t xml:space="preserve">Quick peer-to-peer appreciation notes; top Kudos feed Spot Award nominations.</t>
  </si>
  <si>
    <t xml:space="preserve">Ongoing</t>
  </si>
  <si>
    <t xml:space="preserve">Quality Leaderboard</t>
  </si>
  <si>
    <t xml:space="preserve">Department-level First Pass Yield and COQ-reduction ranking (team-based, not individual demerits).</t>
  </si>
  <si>
    <t xml:space="preserve">Monthly</t>
  </si>
  <si>
    <t xml:space="preserve">Employee of the Quarter</t>
  </si>
  <si>
    <t xml:space="preserve">Committee selection from top Net Merit scores and nominations; recognized at town hall.</t>
  </si>
  <si>
    <t xml:space="preserve">Quarterly</t>
  </si>
  <si>
    <t xml:space="preserve">Cross-Department Spotlight</t>
  </si>
  <si>
    <t xml:space="preserve">Newsletter / channel feature on collaboration stories approved by Division Leads.</t>
  </si>
  <si>
    <t xml:space="preserve">Quality Month Campaign</t>
  </si>
  <si>
    <t xml:space="preserve">Themed quizzes, trainer-led refreshers, defect-prevention challenges with Spot Awards.</t>
  </si>
  <si>
    <t xml:space="preserve">Annual</t>
  </si>
  <si>
    <t xml:space="preserve">Certification Milestone Recognition</t>
  </si>
  <si>
    <t xml:space="preserve">Acknowledge employees reaching Certified (L2) and Master / Trainer (L3).</t>
  </si>
  <si>
    <t xml:space="preserve">As achieved</t>
  </si>
  <si>
    <t xml:space="preserve">10. Governance, Roles &amp; Appeals</t>
  </si>
  <si>
    <t xml:space="preserve">Role</t>
  </si>
  <si>
    <t xml:space="preserve">Responsibility</t>
  </si>
  <si>
    <t xml:space="preserve">Log(s) Owned</t>
  </si>
  <si>
    <t xml:space="preserve">Process Trainer</t>
  </si>
  <si>
    <t xml:space="preserve">Assess and certify staff; log quality events and COQ; recommend corrective action and decertification.</t>
  </si>
  <si>
    <t xml:space="preserve">Team / Department Lead</t>
  </si>
  <si>
    <t xml:space="preserve">Nominate recognitions; issue coaching and verbal warnings; monitor scorecard.</t>
  </si>
  <si>
    <t xml:space="preserve">Recognition_Log, Corrective_Action_Log</t>
  </si>
  <si>
    <t xml:space="preserve">Division Lead</t>
  </si>
  <si>
    <t xml:space="preserve">Approve recognitions (incl. Cross-Department); approve Written Warning and above; quarterly calibration.</t>
  </si>
  <si>
    <t xml:space="preserve">Approval fields</t>
  </si>
  <si>
    <t xml:space="preserve">HR</t>
  </si>
  <si>
    <t xml:space="preserve">Ensure due process and policy alignment; decide Suspension; maintain official records.</t>
  </si>
  <si>
    <t xml:space="preserve">HR Reviewed field</t>
  </si>
  <si>
    <t xml:space="preserve">Program Owner</t>
  </si>
  <si>
    <t xml:space="preserve">Maintain Reference_Data, publish dashboard, run program reviews.</t>
  </si>
  <si>
    <t xml:space="preserve">Reference_Data, Dashboard</t>
  </si>
  <si>
    <t xml:space="preserve">Appeals: an employee may appeal a corrective action or decertification to the Division Lead within 5 working days of the decision. Voided actions are set to 'Voided / Rescinded' and excluded from scoring (record is retained for audit).</t>
  </si>
  <si>
    <t xml:space="preserve">11. Program Success Measures</t>
  </si>
  <si>
    <t xml:space="preserve">• First Pass Yield trend by department (target: improving quarter over quarter).</t>
  </si>
  <si>
    <t xml:space="preserve">• Cost of Poor Quality (Internal + External Failure) as tracked on the Dashboard.</t>
  </si>
  <si>
    <t xml:space="preserve">• % of staff with active certification for every process they perform (target: 100%).</t>
  </si>
  <si>
    <t xml:space="preserve">• Recognition participation rate (% of employees nominated at least once per half-year).</t>
  </si>
  <si>
    <t xml:space="preserve">• Number of approved Cross-Department Recognitions per quarter.</t>
  </si>
  <si>
    <t xml:space="preserve">• Average days from nomination to approval (target: ≤ 10 working days).</t>
  </si>
  <si>
    <t xml:space="preserve">12. Proposed Rollout</t>
  </si>
  <si>
    <t xml:space="preserve">Phase</t>
  </si>
  <si>
    <t xml:space="preserve">Activities</t>
  </si>
  <si>
    <t xml:space="preserve">Timing (proposed)</t>
  </si>
  <si>
    <t xml:space="preserve">1 — Design &amp; Approval</t>
  </si>
  <si>
    <t xml:space="preserve">Finalize categories, points, thresholds; HR/Legal review of corrective action ladder.</t>
  </si>
  <si>
    <t xml:space="preserve">Weeks 1–3</t>
  </si>
  <si>
    <t xml:space="preserve">2 — Pilot</t>
  </si>
  <si>
    <t xml:space="preserve">Run with one or two departments; calibrate thresholds using real data.</t>
  </si>
  <si>
    <t xml:space="preserve">Weeks 4–10</t>
  </si>
  <si>
    <t xml:space="preserve">3 — Launch</t>
  </si>
  <si>
    <t xml:space="preserve">Kick-off town hall; full rollout; promotional activities begin.</t>
  </si>
  <si>
    <t xml:space="preserve">Week 11</t>
  </si>
  <si>
    <t xml:space="preserve">4 — Review</t>
  </si>
  <si>
    <t xml:space="preserve">Quarterly calibration; annual program review.</t>
  </si>
  <si>
    <t xml:space="preserve">Open items for decision: program name, reward budget per quarter, award types permitted by policy, final point values and thresholds, HR sign-off on the corrective action ladder.</t>
  </si>
  <si>
    <t xml:space="preserve">Performance &amp; Recognition Dashboard</t>
  </si>
  <si>
    <t xml:space="preserve">All figures auto-calculate from the logs. Period is set on Merit_Scorecard.</t>
  </si>
  <si>
    <t xml:space="preserve">Active Employees</t>
  </si>
  <si>
    <t xml:space="preserve">Active Certifications</t>
  </si>
  <si>
    <t xml:space="preserve">Decertifications</t>
  </si>
  <si>
    <t xml:space="preserve">Cost of Quality (PHP)</t>
  </si>
  <si>
    <t xml:space="preserve">Merit Points Awarded</t>
  </si>
  <si>
    <t xml:space="preserve">Demerit Points Issued</t>
  </si>
  <si>
    <t xml:space="preserve">Cross-Dept Recognitions</t>
  </si>
  <si>
    <t xml:space="preserve">Open Corrective Actions</t>
  </si>
  <si>
    <t xml:space="preserve">Summary by Department</t>
  </si>
  <si>
    <t xml:space="preserve">Department</t>
  </si>
  <si>
    <t xml:space="preserve">Headcount</t>
  </si>
  <si>
    <t xml:space="preserve">Active Certs</t>
  </si>
  <si>
    <t xml:space="preserve">Decerts</t>
  </si>
  <si>
    <t xml:space="preserve">Quality Incidents</t>
  </si>
  <si>
    <t xml:space="preserve">Critical</t>
  </si>
  <si>
    <t xml:space="preserve">COQ (PHP)</t>
  </si>
  <si>
    <t xml:space="preserve">Recognitions</t>
  </si>
  <si>
    <t xml:space="preserve">Cross-Dept Given</t>
  </si>
  <si>
    <t xml:space="preserve">Cross-Dept Received</t>
  </si>
  <si>
    <t xml:space="preserve">Corrective Actions</t>
  </si>
  <si>
    <t xml:space="preserve">Avg Net Merit</t>
  </si>
  <si>
    <t xml:space="preserve">Cost of Quality by Category</t>
  </si>
  <si>
    <t xml:space="preserve">COQ Category</t>
  </si>
  <si>
    <t xml:space="preserve">Amount (PHP)</t>
  </si>
  <si>
    <t xml:space="preserve">Share</t>
  </si>
  <si>
    <t xml:space="preserve">Total</t>
  </si>
  <si>
    <t xml:space="preserve">Cost of Poor Quality (Internal + External Failure)</t>
  </si>
  <si>
    <t xml:space="preserve">Merit Scorecard</t>
  </si>
  <si>
    <t xml:space="preserve">Auto-calculated per employee for the review period. Only the two yellow period cells are inputs.</t>
  </si>
  <si>
    <t xml:space="preserve">Period Start</t>
  </si>
  <si>
    <t xml:space="preserve">Net Merit Score = Merit Points (approved recognitions) − Demerit Points (decided corrective actions). Any Critical incident or decertification in the period sets Standing to 'Under Review' regardless of score.</t>
  </si>
  <si>
    <t xml:space="preserve">Period End</t>
  </si>
  <si>
    <t xml:space="preserve">Employee ID</t>
  </si>
  <si>
    <t xml:space="preserve">Employee Name</t>
  </si>
  <si>
    <t xml:space="preserve">Critical Incidents</t>
  </si>
  <si>
    <t xml:space="preserve">Net Merit Score</t>
  </si>
  <si>
    <t xml:space="preserve">Performance Standing</t>
  </si>
  <si>
    <t xml:space="preserve">Reward Eligibility</t>
  </si>
  <si>
    <t xml:space="preserve">Rank</t>
  </si>
  <si>
    <t xml:space="preserve">Process Qualification &amp; Performance Log</t>
  </si>
  <si>
    <t xml:space="preserve">Log every certification, assessment, quality incident (with Cost of Quality), and decertification. One event per row.</t>
  </si>
  <si>
    <t xml:space="preserve">Legend:  Navy header = input (enter / select from dropdown)   |   Grey header + shaded cells = auto-calculated (do not overwrite)</t>
  </si>
  <si>
    <t xml:space="preserve">Log ID</t>
  </si>
  <si>
    <t xml:space="preserve">Entry Date</t>
  </si>
  <si>
    <t xml:space="preserve">Process</t>
  </si>
  <si>
    <t xml:space="preserve">Event Type</t>
  </si>
  <si>
    <t xml:space="preserve">Certification Level</t>
  </si>
  <si>
    <t xml:space="preserve">Assessment Score</t>
  </si>
  <si>
    <t xml:space="preserve">Certification Date</t>
  </si>
  <si>
    <t xml:space="preserve">Certification Expiry</t>
  </si>
  <si>
    <t xml:space="preserve">Defect / COQ Description</t>
  </si>
  <si>
    <t xml:space="preserve">COQ Amount (PHP)</t>
  </si>
  <si>
    <t xml:space="preserve">Decertification (Yes/No)</t>
  </si>
  <si>
    <t xml:space="preserve">Decertification Date</t>
  </si>
  <si>
    <t xml:space="preserve">Decertification Reason</t>
  </si>
  <si>
    <t xml:space="preserve">Recertification Due</t>
  </si>
  <si>
    <t xml:space="preserve">Certification Status</t>
  </si>
  <si>
    <t xml:space="preserve">Process Trainer / Assessor</t>
  </si>
  <si>
    <t xml:space="preserve">Remarks</t>
  </si>
  <si>
    <t xml:space="preserve">QL-0001</t>
  </si>
  <si>
    <t xml:space="preserve">E-1001</t>
  </si>
  <si>
    <t xml:space="preserve">Solar PV Permit Plan Set Design</t>
  </si>
  <si>
    <t xml:space="preserve">Initial Certification</t>
  </si>
  <si>
    <t xml:space="preserve">Certified (L2)</t>
  </si>
  <si>
    <t xml:space="preserve">No</t>
  </si>
  <si>
    <t xml:space="preserve">P. Garcia</t>
  </si>
  <si>
    <t xml:space="preserve">QL-0002</t>
  </si>
  <si>
    <t xml:space="preserve">E-1002</t>
  </si>
  <si>
    <t xml:space="preserve">Qualified (L1)</t>
  </si>
  <si>
    <t xml:space="preserve">QL-0003</t>
  </si>
  <si>
    <t xml:space="preserve">E-1003</t>
  </si>
  <si>
    <t xml:space="preserve">AHJ Permit Submission</t>
  </si>
  <si>
    <t xml:space="preserve">L. Ramos</t>
  </si>
  <si>
    <t xml:space="preserve">Recertification overdue — schedule assessment.</t>
  </si>
  <si>
    <t xml:space="preserve">QL-0004</t>
  </si>
  <si>
    <t xml:space="preserve">E-1005</t>
  </si>
  <si>
    <t xml:space="preserve">Utility Interconnection Application (Rule 21)</t>
  </si>
  <si>
    <t xml:space="preserve">QL-0005</t>
  </si>
  <si>
    <t xml:space="preserve">E-1006</t>
  </si>
  <si>
    <t xml:space="preserve">QL-0006</t>
  </si>
  <si>
    <t xml:space="preserve">E-1007</t>
  </si>
  <si>
    <t xml:space="preserve">Plan Set QA Review</t>
  </si>
  <si>
    <t xml:space="preserve">Master / Trainer (L3)</t>
  </si>
  <si>
    <t xml:space="preserve">H. Lim</t>
  </si>
  <si>
    <t xml:space="preserve">QL-0007</t>
  </si>
  <si>
    <t xml:space="preserve">E-1008</t>
  </si>
  <si>
    <t xml:space="preserve">QL-0008</t>
  </si>
  <si>
    <t xml:space="preserve">E-1010</t>
  </si>
  <si>
    <t xml:space="preserve">QL-0009</t>
  </si>
  <si>
    <t xml:space="preserve">E-1004</t>
  </si>
  <si>
    <t xml:space="preserve">QL-0010</t>
  </si>
  <si>
    <t xml:space="preserve">Title 24 Compliance Documentation</t>
  </si>
  <si>
    <t xml:space="preserve">QL-0011</t>
  </si>
  <si>
    <t xml:space="preserve">Quality Incident</t>
  </si>
  <si>
    <t xml:space="preserve">Internal Failure</t>
  </si>
  <si>
    <t xml:space="preserve">Incorrect module string sizing caught at QA; plan set rework.</t>
  </si>
  <si>
    <t xml:space="preserve">Minor</t>
  </si>
  <si>
    <t xml:space="preserve">See CA-0001</t>
  </si>
  <si>
    <t xml:space="preserve">QL-0012</t>
  </si>
  <si>
    <t xml:space="preserve">External Failure</t>
  </si>
  <si>
    <t xml:space="preserve">AHJ rejection — missing fire setback dimensions; resubmittal required.</t>
  </si>
  <si>
    <t xml:space="preserve">Major</t>
  </si>
  <si>
    <t xml:space="preserve">See CA-0002</t>
  </si>
  <si>
    <t xml:space="preserve">QL-0013</t>
  </si>
  <si>
    <t xml:space="preserve">Decertification</t>
  </si>
  <si>
    <t xml:space="preserve">Repeat AHJ rejection; field change order required.</t>
  </si>
  <si>
    <t xml:space="preserve">Yes</t>
  </si>
  <si>
    <t xml:space="preserve">Repeat Critical external failure; competency gap on fire code setbacks.</t>
  </si>
  <si>
    <t xml:space="preserve">See CA-0003</t>
  </si>
  <si>
    <t xml:space="preserve">QL-0014</t>
  </si>
  <si>
    <t xml:space="preserve">Reinstatement</t>
  </si>
  <si>
    <t xml:space="preserve">Passed reassessment after retraining.</t>
  </si>
  <si>
    <t xml:space="preserve">QL-0015</t>
  </si>
  <si>
    <t xml:space="preserve">Single-line diagram mismatch with utility application; rework.</t>
  </si>
  <si>
    <t xml:space="preserve">See CA-0004</t>
  </si>
  <si>
    <t xml:space="preserve">QL-0016</t>
  </si>
  <si>
    <t xml:space="preserve">Assessment / Audit</t>
  </si>
  <si>
    <t xml:space="preserve">Appraisal</t>
  </si>
  <si>
    <t xml:space="preserve">Quarterly QA calibration audit.</t>
  </si>
  <si>
    <t xml:space="preserve">QL-0017</t>
  </si>
  <si>
    <t xml:space="preserve">Prevention</t>
  </si>
  <si>
    <t xml:space="preserve">Trainer-led code-update refresher delivered to Design team.</t>
  </si>
  <si>
    <t xml:space="preserve">QL-0018</t>
  </si>
  <si>
    <t xml:space="preserve">Recertification</t>
  </si>
  <si>
    <t xml:space="preserve">Promoted L1 → L2.</t>
  </si>
  <si>
    <t xml:space="preserve">QL-0019</t>
  </si>
  <si>
    <t xml:space="preserve">Permit submitted with outdated structural letter; AHJ correction notice.</t>
  </si>
  <si>
    <t xml:space="preserve">See CA-0005</t>
  </si>
  <si>
    <t xml:space="preserve">Recognition Log (Merit)</t>
  </si>
  <si>
    <t xml:space="preserve">Record nominations and awards. Merit points credit only when Approval Status = Approved. Cross-Department Recognition requires Division Lead approval.</t>
  </si>
  <si>
    <t xml:space="preserve">Recognition ID</t>
  </si>
  <si>
    <t xml:space="preserve">Date Nominated</t>
  </si>
  <si>
    <t xml:space="preserve">Home Department</t>
  </si>
  <si>
    <t xml:space="preserve">Beneficiary Department</t>
  </si>
  <si>
    <t xml:space="preserve">Cross-Department</t>
  </si>
  <si>
    <t xml:space="preserve">Project / Activity</t>
  </si>
  <si>
    <t xml:space="preserve">Contribution Description</t>
  </si>
  <si>
    <t xml:space="preserve">Nominated By</t>
  </si>
  <si>
    <t xml:space="preserve">Division Lead Approver</t>
  </si>
  <si>
    <t xml:space="preserve">Approval Status</t>
  </si>
  <si>
    <t xml:space="preserve">Approval Date</t>
  </si>
  <si>
    <t xml:space="preserve">Award Issued</t>
  </si>
  <si>
    <t xml:space="preserve">Points Credited</t>
  </si>
  <si>
    <t xml:space="preserve">RC-0001</t>
  </si>
  <si>
    <t xml:space="preserve">Quality Excellence Award</t>
  </si>
  <si>
    <t xml:space="preserve">Quality Assurance</t>
  </si>
  <si>
    <t xml:space="preserve">Q1 plan set QA</t>
  </si>
  <si>
    <t xml:space="preserve">Zero escaped defects across 120 plan sets reviewed in Q1.</t>
  </si>
  <si>
    <t xml:space="preserve">R. Tan</t>
  </si>
  <si>
    <t xml:space="preserve">Approved</t>
  </si>
  <si>
    <t xml:space="preserve">Certificate of Recognition</t>
  </si>
  <si>
    <t xml:space="preserve">RC-0002</t>
  </si>
  <si>
    <t xml:space="preserve">Cross-Department Recognition</t>
  </si>
  <si>
    <t xml:space="preserve">Permitting</t>
  </si>
  <si>
    <t xml:space="preserve">Utility backlog clearance</t>
  </si>
  <si>
    <t xml:space="preserve">Supported Permitting to clear 40 interconnection-dependent permits ahead of the builder deadline.</t>
  </si>
  <si>
    <t xml:space="preserve">D. Reyes</t>
  </si>
  <si>
    <t xml:space="preserve">M. Flores</t>
  </si>
  <si>
    <t xml:space="preserve">Gift Voucher</t>
  </si>
  <si>
    <t xml:space="preserve">RC-0003</t>
  </si>
  <si>
    <t xml:space="preserve">Innovation / Process Improvement</t>
  </si>
  <si>
    <t xml:space="preserve">Design</t>
  </si>
  <si>
    <t xml:space="preserve">Title 24 template</t>
  </si>
  <si>
    <t xml:space="preserve">Built a standardized Title 24 calculation template; prep time reduced ~30%.</t>
  </si>
  <si>
    <t xml:space="preserve">Cash Incentive</t>
  </si>
  <si>
    <t xml:space="preserve">RC-0004</t>
  </si>
  <si>
    <t xml:space="preserve">Mentorship Award</t>
  </si>
  <si>
    <t xml:space="preserve">New-hire onboarding</t>
  </si>
  <si>
    <t xml:space="preserve">Coached three new design engineers to Qualified (L1).</t>
  </si>
  <si>
    <t xml:space="preserve">Additional Leave Credit</t>
  </si>
  <si>
    <t xml:space="preserve">RC-0005</t>
  </si>
  <si>
    <t xml:space="preserve">Spot Award</t>
  </si>
  <si>
    <t xml:space="preserve">Urgent resubmittals</t>
  </si>
  <si>
    <t xml:space="preserve">Same-day turnaround on 12 urgent permit resubmittals.</t>
  </si>
  <si>
    <t xml:space="preserve">Public Recognition (Wall of Excellence)</t>
  </si>
  <si>
    <t xml:space="preserve">RC-0006</t>
  </si>
  <si>
    <t xml:space="preserve">E-1009</t>
  </si>
  <si>
    <t xml:space="preserve">Builder phase coordination</t>
  </si>
  <si>
    <t xml:space="preserve">Coordinated builder lot-release data enabling Design to meet its 48-hour SLA.</t>
  </si>
  <si>
    <t xml:space="preserve">A. Villanueva</t>
  </si>
  <si>
    <t xml:space="preserve">Pending</t>
  </si>
  <si>
    <t xml:space="preserve">Awaiting Division Lead review.</t>
  </si>
  <si>
    <t xml:space="preserve">RC-0007</t>
  </si>
  <si>
    <t xml:space="preserve">Zero-Defect Milestone</t>
  </si>
  <si>
    <t xml:space="preserve">Plan set output</t>
  </si>
  <si>
    <t xml:space="preserve">100 consecutive plan sets with zero QA findings.</t>
  </si>
  <si>
    <t xml:space="preserve">Token / Merchandise</t>
  </si>
  <si>
    <t xml:space="preserve">RC-0008</t>
  </si>
  <si>
    <t xml:space="preserve">Interconnection</t>
  </si>
  <si>
    <t xml:space="preserve">Utility rejection fix</t>
  </si>
  <si>
    <t xml:space="preserve">Resolved a utility application rejection within 24 hours.</t>
  </si>
  <si>
    <t xml:space="preserve">E. Navarro</t>
  </si>
  <si>
    <t xml:space="preserve">Declined</t>
  </si>
  <si>
    <t xml:space="preserve">Within standard job scope; acknowledged in team huddle.</t>
  </si>
  <si>
    <t xml:space="preserve">RC-0009</t>
  </si>
  <si>
    <t xml:space="preserve">QA checklist revamp</t>
  </si>
  <si>
    <t xml:space="preserve">Co-authored the updated QA checklist adopted by the QA team.</t>
  </si>
  <si>
    <t xml:space="preserve">G. Bautista</t>
  </si>
  <si>
    <t xml:space="preserve">Corrective Action Log (Accountability)</t>
  </si>
  <si>
    <t xml:space="preserve">Progressive, documented corrective actions. Demerits count only once a Decision Date is recorded (after due process) and the action is not voided.</t>
  </si>
  <si>
    <t xml:space="preserve">CA ID</t>
  </si>
  <si>
    <t xml:space="preserve">Incident Date</t>
  </si>
  <si>
    <t xml:space="preserve">Linked Log ID</t>
  </si>
  <si>
    <t xml:space="preserve">Infraction Category</t>
  </si>
  <si>
    <t xml:space="preserve">Incident Description</t>
  </si>
  <si>
    <t xml:space="preserve">Notice to Explain Issued</t>
  </si>
  <si>
    <t xml:space="preserve">Employee Response Date</t>
  </si>
  <si>
    <t xml:space="preserve">Decision Date</t>
  </si>
  <si>
    <t xml:space="preserve">Issued By</t>
  </si>
  <si>
    <t xml:space="preserve">HR Reviewed (Yes/No)</t>
  </si>
  <si>
    <t xml:space="preserve">Retraining Required (Yes/No)</t>
  </si>
  <si>
    <t xml:space="preserve">Retraining Due Date</t>
  </si>
  <si>
    <t xml:space="preserve">Action Status</t>
  </si>
  <si>
    <t xml:space="preserve">Demerits Counted</t>
  </si>
  <si>
    <t xml:space="preserve">CA-0001</t>
  </si>
  <si>
    <t xml:space="preserve">Quality Non-Conformance</t>
  </si>
  <si>
    <t xml:space="preserve">String sizing error caught at QA.</t>
  </si>
  <si>
    <t xml:space="preserve">Coaching Session</t>
  </si>
  <si>
    <t xml:space="preserve">Closed</t>
  </si>
  <si>
    <t xml:space="preserve">CA-0002</t>
  </si>
  <si>
    <t xml:space="preserve">AHJ rejection for missing fire setbacks.</t>
  </si>
  <si>
    <t xml:space="preserve">Written Warning</t>
  </si>
  <si>
    <t xml:space="preserve">CA-0003</t>
  </si>
  <si>
    <t xml:space="preserve">Repeat Defect</t>
  </si>
  <si>
    <t xml:space="preserve">Repeat AHJ rejection resulting in field change order.</t>
  </si>
  <si>
    <t xml:space="preserve">Reinstated via QL-0014.</t>
  </si>
  <si>
    <t xml:space="preserve">CA-0004</t>
  </si>
  <si>
    <t xml:space="preserve">SLD mismatch with utility application.</t>
  </si>
  <si>
    <t xml:space="preserve">CA-0005</t>
  </si>
  <si>
    <t xml:space="preserve">Process / SOP Non-Compliance</t>
  </si>
  <si>
    <t xml:space="preserve">Outdated structural letter used; document-control SOP not followed.</t>
  </si>
  <si>
    <t xml:space="preserve">Open</t>
  </si>
  <si>
    <t xml:space="preserve">Pending decision — due process in progress.</t>
  </si>
  <si>
    <t xml:space="preserve">CA-0006</t>
  </si>
  <si>
    <t xml:space="preserve">Attendance / Timeliness</t>
  </si>
  <si>
    <t xml:space="preserve">Three late log-ins within the month.</t>
  </si>
  <si>
    <t xml:space="preserve">Verbal Warning</t>
  </si>
  <si>
    <t xml:space="preserve">Employee Master</t>
  </si>
  <si>
    <t xml:space="preserve">One row per employee. Employee ID is the key used by every log.</t>
  </si>
  <si>
    <t xml:space="preserve">Full Name</t>
  </si>
  <si>
    <t xml:space="preserve">Position</t>
  </si>
  <si>
    <t xml:space="preserve">Date Hired</t>
  </si>
  <si>
    <t xml:space="preserve">Employment Status</t>
  </si>
  <si>
    <t xml:space="preserve">Andrea Villanueva</t>
  </si>
  <si>
    <t xml:space="preserve">Design Engineer II</t>
  </si>
  <si>
    <t xml:space="preserve">Active</t>
  </si>
  <si>
    <t xml:space="preserve">Carlo Mendoza</t>
  </si>
  <si>
    <t xml:space="preserve">Design Engineer I</t>
  </si>
  <si>
    <t xml:space="preserve">Bea Santos</t>
  </si>
  <si>
    <t xml:space="preserve">Permit Specialist</t>
  </si>
  <si>
    <t xml:space="preserve">Daniel Reyes</t>
  </si>
  <si>
    <t xml:space="preserve">Ella Navarro</t>
  </si>
  <si>
    <t xml:space="preserve">Interconnection Specialist</t>
  </si>
  <si>
    <t xml:space="preserve">Francis Aquino</t>
  </si>
  <si>
    <t xml:space="preserve">Interconnection Analyst</t>
  </si>
  <si>
    <t xml:space="preserve">Grace Bautista</t>
  </si>
  <si>
    <t xml:space="preserve">QA Analyst</t>
  </si>
  <si>
    <t xml:space="preserve">Hector Lim</t>
  </si>
  <si>
    <t xml:space="preserve">QA Lead / Process Trainer</t>
  </si>
  <si>
    <t xml:space="preserve">Ivy Castillo</t>
  </si>
  <si>
    <t xml:space="preserve">Project Management</t>
  </si>
  <si>
    <t xml:space="preserve">Project Coordinator</t>
  </si>
  <si>
    <t xml:space="preserve">Jomar Dela Cruz</t>
  </si>
  <si>
    <t xml:space="preserve">Reference Data — Master Lists &amp; Parameters</t>
  </si>
  <si>
    <t xml:space="preserve">Single source for all dropdowns and scoring. Edit values here; blank rows inside each list are available for additions.</t>
  </si>
  <si>
    <t xml:space="preserve">Blue text = editable parameter / list value.</t>
  </si>
  <si>
    <t xml:space="preserve">Yes / No</t>
  </si>
  <si>
    <t xml:space="preserve">Parameter</t>
  </si>
  <si>
    <t xml:space="preserve">Value</t>
  </si>
  <si>
    <t xml:space="preserve">Note</t>
  </si>
  <si>
    <t xml:space="preserve">Trainee (L0)</t>
  </si>
  <si>
    <t xml:space="preserve">In training; all output requires 100% review by a Process Trainer.</t>
  </si>
  <si>
    <t xml:space="preserve">Defect caught internally; no customer, AHJ or utility impact; COQ below ₱5,000.</t>
  </si>
  <si>
    <t xml:space="preserve">Cost to prevent defects: training, templates, SOP development.</t>
  </si>
  <si>
    <t xml:space="preserve">Immediate recognition of an above-standard contribution.</t>
  </si>
  <si>
    <t xml:space="preserve">Documented one-on-one coaching; non-disciplinary.</t>
  </si>
  <si>
    <t xml:space="preserve">Certification validity (months)</t>
  </si>
  <si>
    <t xml:space="preserve">Expiry = Certification Date + this value.</t>
  </si>
  <si>
    <t xml:space="preserve">Passed assessment; works independently with sampling review.</t>
  </si>
  <si>
    <t xml:space="preserve">Defect reached AHJ / utility / customer OR required formal rework; schedule impact.</t>
  </si>
  <si>
    <t xml:space="preserve">Written Warning + Retraining</t>
  </si>
  <si>
    <t xml:space="preserve">Cost to detect defects: QA review, audits, assessments.</t>
  </si>
  <si>
    <t xml:space="preserve">Significant assistance that helped another department achieve a goal. Division Lead approval required.</t>
  </si>
  <si>
    <t xml:space="preserve">Documented verbal warning.</t>
  </si>
  <si>
    <t xml:space="preserve">Inactive</t>
  </si>
  <si>
    <t xml:space="preserve">Recertification window after decertification (days)</t>
  </si>
  <si>
    <t xml:space="preserve">Recertification Due = Decertification Date + this value.</t>
  </si>
  <si>
    <t xml:space="preserve">Fully competent; independent work with standard QA sampling.</t>
  </si>
  <si>
    <t xml:space="preserve">Safety, code or compliance risk, field rework, or repeat Major within 90 days.</t>
  </si>
  <si>
    <t xml:space="preserve">Decertification Review / Final Written Warning</t>
  </si>
  <si>
    <t xml:space="preserve">Defects caught before release: rework, re-review, delay.</t>
  </si>
  <si>
    <t xml:space="preserve">Coached peers to a higher certification level.</t>
  </si>
  <si>
    <t xml:space="preserve">Formal written warning after due process.</t>
  </si>
  <si>
    <t xml:space="preserve">Voided / Rescinded</t>
  </si>
  <si>
    <t xml:space="preserve">Standing: Exemplary (Net Merit ≥)</t>
  </si>
  <si>
    <t xml:space="preserve">Proposed threshold — calibrate after first quarter.</t>
  </si>
  <si>
    <t xml:space="preserve">Structural Load Calculation</t>
  </si>
  <si>
    <t xml:space="preserve">Subject-matter expert; authorized to train and assess others.</t>
  </si>
  <si>
    <t xml:space="preserve">Defects found by AHJ, utility, builder or homeowner: resubmittal, field change, penalties.</t>
  </si>
  <si>
    <t xml:space="preserve">Sustained zero-defect / top First Pass Yield performance.</t>
  </si>
  <si>
    <t xml:space="preserve">Performance Improvement Plan (PIP)</t>
  </si>
  <si>
    <t xml:space="preserve">Structured improvement plan with defined targets and timeline.</t>
  </si>
  <si>
    <t xml:space="preserve">Standing: Commendable (Net Merit ≥)</t>
  </si>
  <si>
    <t xml:space="preserve">Proposed threshold.</t>
  </si>
  <si>
    <t xml:space="preserve">Battery Storage (ESS) Design</t>
  </si>
  <si>
    <t xml:space="preserve">Consecutive-output milestone with zero QA findings.</t>
  </si>
  <si>
    <t xml:space="preserve">Final Written Warning</t>
  </si>
  <si>
    <t xml:space="preserve">Last formal warning before escalation to HR.</t>
  </si>
  <si>
    <t xml:space="preserve">Policy Violation</t>
  </si>
  <si>
    <t xml:space="preserve">Standing: Meets Standard (Net Merit ≥)</t>
  </si>
  <si>
    <t xml:space="preserve">Below this = Needs Improvement.</t>
  </si>
  <si>
    <t xml:space="preserve">Customer Care</t>
  </si>
  <si>
    <t xml:space="preserve">Improvement adopted that measurably reduces COQ or cycle time.</t>
  </si>
  <si>
    <t xml:space="preserve">Removal of process certification; retraining and reassessment required.</t>
  </si>
  <si>
    <t xml:space="preserve">Reward ineligibility: Demerit Points ≥</t>
  </si>
  <si>
    <t xml:space="preserve">Also ineligible if any Critical incident in the period.</t>
  </si>
  <si>
    <t xml:space="preserve">Top overall contributor for the quarter (committee selection).</t>
  </si>
  <si>
    <t xml:space="preserve">Suspension (HR Determination)</t>
  </si>
  <si>
    <t xml:space="preserve">HR-determined sanction following due process.</t>
  </si>
  <si>
    <t xml:space="preserve">Salesforce Case &amp; Milestone Management</t>
  </si>
</sst>
</file>

<file path=xl/styles.xml><?xml version="1.0" encoding="utf-8"?>
<styleSheet xmlns="http://schemas.openxmlformats.org/spreadsheetml/2006/main">
  <numFmts count="8">
    <numFmt numFmtId="164" formatCode="General"/>
    <numFmt numFmtId="165" formatCode="0"/>
    <numFmt numFmtId="166" formatCode="\₱#,##0;&quot;(₱&quot;#,##0\);\-"/>
    <numFmt numFmtId="167" formatCode="0.0"/>
    <numFmt numFmtId="168" formatCode="0.0%"/>
    <numFmt numFmtId="169" formatCode="yyyy\-mm\-dd"/>
    <numFmt numFmtId="170" formatCode="General"/>
    <numFmt numFmtId="171" formatCode="0%"/>
  </numFmts>
  <fonts count="2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i val="true"/>
      <sz val="10"/>
      <color rgb="FF595959"/>
      <name val="Arial"/>
      <family val="0"/>
      <charset val="1"/>
    </font>
    <font>
      <b val="true"/>
      <sz val="10"/>
      <color rgb="FFFFFFFF"/>
      <name val="Arial"/>
      <family val="0"/>
      <charset val="1"/>
    </font>
    <font>
      <b val="true"/>
      <sz val="10"/>
      <color rgb="FF2E75B6"/>
      <name val="Arial"/>
      <family val="0"/>
      <charset val="1"/>
    </font>
    <font>
      <b val="true"/>
      <sz val="14"/>
      <color rgb="FF1F3864"/>
      <name val="Arial"/>
      <family val="0"/>
      <charset val="1"/>
    </font>
    <font>
      <b val="true"/>
      <sz val="9"/>
      <color rgb="FFFFFFFF"/>
      <name val="Arial"/>
      <family val="0"/>
      <charset val="1"/>
    </font>
    <font>
      <b val="true"/>
      <sz val="12"/>
      <color rgb="FF1F3864"/>
      <name val="Arial"/>
      <family val="0"/>
      <charset val="1"/>
    </font>
    <font>
      <i val="true"/>
      <sz val="9"/>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9"/>
      <color rgb="FF595959"/>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595959"/>
        <bgColor rgb="FF333333"/>
      </patternFill>
    </fill>
    <fill>
      <patternFill patternType="solid">
        <fgColor rgb="FFDDEBF7"/>
        <bgColor rgb="FFF2F2F2"/>
      </patternFill>
    </fill>
    <fill>
      <patternFill patternType="solid">
        <fgColor rgb="FFFFFF00"/>
        <bgColor rgb="FFFFFF00"/>
      </patternFill>
    </fill>
    <fill>
      <patternFill patternType="solid">
        <fgColor rgb="FFF2F2F2"/>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5" fontId="4" fillId="4" borderId="0" xfId="0" applyFont="true" applyBorder="true" applyAlignment="true" applyProtection="false">
      <alignment horizontal="center" vertical="center" textRotation="0" wrapText="true" indent="0" shrinkToFit="false"/>
      <protection locked="true" hidden="false"/>
    </xf>
    <xf numFmtId="166" fontId="4" fillId="4"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9" fontId="19"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70" fontId="8" fillId="6" borderId="1" xfId="0" applyFont="true" applyBorder="true" applyAlignment="true" applyProtection="false">
      <alignment horizontal="center" vertical="top" textRotation="0" wrapText="false" indent="0" shrinkToFit="false"/>
      <protection locked="true" hidden="false"/>
    </xf>
    <xf numFmtId="166" fontId="8" fillId="6" borderId="1" xfId="0" applyFont="true" applyBorder="true" applyAlignment="true" applyProtection="false">
      <alignment horizontal="center" vertical="top" textRotation="0" wrapText="fals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69" fontId="8" fillId="6"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595959"/>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E699"/>
          <bgColor rgb="FF000000"/>
        </patternFill>
      </fill>
    </dxf>
    <dxf>
      <fill>
        <patternFill>
          <bgColor rgb="FFC6EFCE"/>
        </patternFill>
      </fill>
    </dxf>
    <dxf>
      <fill>
        <patternFill>
          <bgColor rgb="FFDDEBF7"/>
        </patternFill>
      </fill>
    </dxf>
    <dxf>
      <fill>
        <patternFill>
          <bgColor rgb="FFF8CBAD"/>
        </patternFill>
      </fill>
    </dxf>
    <dxf>
      <fill>
        <patternFill>
          <bgColor rgb="FFFFE699"/>
        </patternFill>
      </fill>
    </dxf>
    <dxf>
      <fill>
        <patternFill patternType="solid">
          <fgColor rgb="FF1F3864"/>
          <bgColor rgb="FF000000"/>
        </patternFill>
      </fill>
    </dxf>
    <dxf>
      <fill>
        <patternFill patternType="solid">
          <fgColor rgb="FFD9D9D9"/>
          <bgColor rgb="FF000000"/>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99CCFF"/>
      <rgbColor rgb="FFFF99CC"/>
      <rgbColor rgb="FFCC99FF"/>
      <rgbColor rgb="FFF8CBAD"/>
      <rgbColor rgb="FF2E75B6"/>
      <rgbColor rgb="FF33CCCC"/>
      <rgbColor rgb="FF99CC00"/>
      <rgbColor rgb="FFFFCC00"/>
      <rgbColor rgb="FFFF9900"/>
      <rgbColor rgb="FFFF6600"/>
      <rgbColor rgb="FF595959"/>
      <rgbColor rgb="FF969696"/>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of Quality by Category (PHP)</a:t>
            </a:r>
          </a:p>
        </c:rich>
      </c:tx>
      <c:overlay val="0"/>
      <c:spPr>
        <a:noFill/>
        <a:ln w="0">
          <a:noFill/>
        </a:ln>
      </c:spPr>
    </c:title>
    <c:autoTitleDeleted val="0"/>
    <c:plotArea>
      <c:barChart>
        <c:barDir val="bar"/>
        <c:grouping val="clustered"/>
        <c:varyColors val="0"/>
        <c:ser>
          <c:idx val="0"/>
          <c:order val="0"/>
          <c:tx>
            <c:strRef>
              <c:f>Dashboard!B22</c:f>
              <c:strCache>
                <c:ptCount val="1"/>
                <c:pt idx="0">
                  <c:v>Amount (PHP)</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Dashboard!$A$23:$A$26</c:f>
              <c:strCache>
                <c:ptCount val="4"/>
                <c:pt idx="0">
                  <c:v>Prevention</c:v>
                </c:pt>
                <c:pt idx="1">
                  <c:v>Appraisal</c:v>
                </c:pt>
                <c:pt idx="2">
                  <c:v>Internal Failure</c:v>
                </c:pt>
                <c:pt idx="3">
                  <c:v>External Failure</c:v>
                </c:pt>
              </c:strCache>
            </c:strRef>
          </c:cat>
          <c:val>
            <c:numRef>
              <c:f>Dashboard!$B$23:$B$26</c:f>
              <c:numCache>
                <c:formatCode>\₱#,##0;"(₱"#,##0\);\-</c:formatCode>
                <c:ptCount val="4"/>
                <c:pt idx="0">
                  <c:v>8000</c:v>
                </c:pt>
                <c:pt idx="1">
                  <c:v>1500</c:v>
                </c:pt>
                <c:pt idx="2">
                  <c:v>6000</c:v>
                </c:pt>
                <c:pt idx="3">
                  <c:v>66500</c:v>
                </c:pt>
              </c:numCache>
            </c:numRef>
          </c:val>
        </c:ser>
        <c:gapWidth val="150"/>
        <c:overlap val="0"/>
        <c:axId val="69889155"/>
        <c:axId val="24451787"/>
      </c:barChart>
      <c:catAx>
        <c:axId val="698891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451787"/>
        <c:crosses val="autoZero"/>
        <c:auto val="1"/>
        <c:lblAlgn val="ctr"/>
        <c:lblOffset val="100"/>
        <c:noMultiLvlLbl val="0"/>
      </c:catAx>
      <c:valAx>
        <c:axId val="2445178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88915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Merit vs Demerit Points by Department</a:t>
            </a:r>
          </a:p>
        </c:rich>
      </c:tx>
      <c:overlay val="0"/>
      <c:spPr>
        <a:noFill/>
        <a:ln w="0">
          <a:noFill/>
        </a:ln>
      </c:spPr>
    </c:title>
    <c:autoTitleDeleted val="0"/>
    <c:plotArea>
      <c:barChart>
        <c:barDir val="col"/>
        <c:grouping val="clustered"/>
        <c:varyColors val="0"/>
        <c:ser>
          <c:idx val="0"/>
          <c:order val="0"/>
          <c:tx>
            <c:strRef>
              <c:f>Dashboard!L9</c:f>
              <c:strCache>
                <c:ptCount val="1"/>
                <c:pt idx="0">
                  <c:v>Merit Points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Dashboard!$A$10:$A$15</c:f>
              <c:strCache>
                <c:ptCount val="6"/>
                <c:pt idx="0">
                  <c:v>Design</c:v>
                </c:pt>
                <c:pt idx="1">
                  <c:v>Permitting</c:v>
                </c:pt>
                <c:pt idx="2">
                  <c:v>Interconnection</c:v>
                </c:pt>
                <c:pt idx="3">
                  <c:v>Quality Assurance</c:v>
                </c:pt>
                <c:pt idx="4">
                  <c:v>Project Management</c:v>
                </c:pt>
                <c:pt idx="5">
                  <c:v>Customer Care</c:v>
                </c:pt>
              </c:strCache>
            </c:strRef>
          </c:cat>
          <c:val>
            <c:numRef>
              <c:f>Dashboard!$L$10:$L$15</c:f>
              <c:numCache>
                <c:formatCode>0</c:formatCode>
                <c:ptCount val="6"/>
                <c:pt idx="0">
                  <c:v>60</c:v>
                </c:pt>
                <c:pt idx="1">
                  <c:v>10</c:v>
                </c:pt>
                <c:pt idx="2">
                  <c:v>15</c:v>
                </c:pt>
                <c:pt idx="3">
                  <c:v>35</c:v>
                </c:pt>
                <c:pt idx="4">
                  <c:v>0</c:v>
                </c:pt>
                <c:pt idx="5">
                  <c:v>0</c:v>
                </c:pt>
              </c:numCache>
            </c:numRef>
          </c:val>
        </c:ser>
        <c:ser>
          <c:idx val="1"/>
          <c:order val="1"/>
          <c:tx>
            <c:strRef>
              <c:f>Dashboard!M9</c:f>
              <c:strCache>
                <c:ptCount val="1"/>
                <c:pt idx="0">
                  <c:v>Demerit Points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Dashboard!$A$10:$A$15</c:f>
              <c:strCache>
                <c:ptCount val="6"/>
                <c:pt idx="0">
                  <c:v>Design</c:v>
                </c:pt>
                <c:pt idx="1">
                  <c:v>Permitting</c:v>
                </c:pt>
                <c:pt idx="2">
                  <c:v>Interconnection</c:v>
                </c:pt>
                <c:pt idx="3">
                  <c:v>Quality Assurance</c:v>
                </c:pt>
                <c:pt idx="4">
                  <c:v>Project Management</c:v>
                </c:pt>
                <c:pt idx="5">
                  <c:v>Customer Care</c:v>
                </c:pt>
              </c:strCache>
            </c:strRef>
          </c:cat>
          <c:val>
            <c:numRef>
              <c:f>Dashboard!$M$10:$M$15</c:f>
              <c:numCache>
                <c:formatCode>0</c:formatCode>
                <c:ptCount val="6"/>
                <c:pt idx="0">
                  <c:v>45</c:v>
                </c:pt>
                <c:pt idx="1">
                  <c:v>0</c:v>
                </c:pt>
                <c:pt idx="2">
                  <c:v>0</c:v>
                </c:pt>
                <c:pt idx="3">
                  <c:v>0</c:v>
                </c:pt>
                <c:pt idx="4">
                  <c:v>5</c:v>
                </c:pt>
                <c:pt idx="5">
                  <c:v>0</c:v>
                </c:pt>
              </c:numCache>
            </c:numRef>
          </c:val>
        </c:ser>
        <c:gapWidth val="150"/>
        <c:overlap val="0"/>
        <c:axId val="76862529"/>
        <c:axId val="11043040"/>
      </c:barChart>
      <c:catAx>
        <c:axId val="768625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043040"/>
        <c:crosses val="autoZero"/>
        <c:auto val="1"/>
        <c:lblAlgn val="ctr"/>
        <c:lblOffset val="100"/>
        <c:noMultiLvlLbl val="0"/>
      </c:catAx>
      <c:valAx>
        <c:axId val="11043040"/>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8625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19</xdr:row>
      <xdr:rowOff>160560</xdr:rowOff>
    </xdr:from>
    <xdr:to>
      <xdr:col>9</xdr:col>
      <xdr:colOff>97920</xdr:colOff>
      <xdr:row>33</xdr:row>
      <xdr:rowOff>13320</xdr:rowOff>
    </xdr:to>
    <xdr:graphicFrame>
      <xdr:nvGraphicFramePr>
        <xdr:cNvPr id="0" name="Chart 1"/>
        <xdr:cNvGraphicFramePr/>
      </xdr:nvGraphicFramePr>
      <xdr:xfrm>
        <a:off x="4299480" y="4238640"/>
        <a:ext cx="46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160560</xdr:rowOff>
    </xdr:from>
    <xdr:to>
      <xdr:col>14</xdr:col>
      <xdr:colOff>818280</xdr:colOff>
      <xdr:row>33</xdr:row>
      <xdr:rowOff>13320</xdr:rowOff>
    </xdr:to>
    <xdr:graphicFrame>
      <xdr:nvGraphicFramePr>
        <xdr:cNvPr id="1" name="Chart 2"/>
        <xdr:cNvGraphicFramePr/>
      </xdr:nvGraphicFramePr>
      <xdr:xfrm>
        <a:off x="8881200" y="4238640"/>
        <a:ext cx="539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row>
    <row r="5" customFormat="false" ht="30" hidden="false" customHeight="true" outlineLevel="0" collapsed="false">
      <c r="B5" s="5" t="s">
        <v>3</v>
      </c>
      <c r="C5" s="6" t="s">
        <v>4</v>
      </c>
    </row>
    <row r="6" customFormat="false" ht="15" hidden="false" customHeight="true" outlineLevel="0" collapsed="false">
      <c r="B6" s="5" t="s">
        <v>5</v>
      </c>
      <c r="C6" s="6" t="s">
        <v>6</v>
      </c>
    </row>
    <row r="7" customFormat="false" ht="30" hidden="false" customHeight="true" outlineLevel="0" collapsed="false">
      <c r="B7" s="5" t="s">
        <v>7</v>
      </c>
      <c r="C7" s="6" t="s">
        <v>8</v>
      </c>
    </row>
    <row r="8" customFormat="false" ht="30" hidden="false" customHeight="true" outlineLevel="0" collapsed="false">
      <c r="B8" s="5" t="s">
        <v>9</v>
      </c>
      <c r="C8" s="6" t="s">
        <v>10</v>
      </c>
    </row>
    <row r="9" customFormat="false" ht="15" hidden="false" customHeight="true" outlineLevel="0" collapsed="false">
      <c r="B9" s="5" t="s">
        <v>11</v>
      </c>
      <c r="C9" s="6" t="s">
        <v>12</v>
      </c>
    </row>
    <row r="10" customFormat="false" ht="15" hidden="false" customHeight="true" outlineLevel="0" collapsed="false">
      <c r="B10" s="5" t="s">
        <v>13</v>
      </c>
      <c r="C10" s="6" t="s">
        <v>14</v>
      </c>
    </row>
    <row r="11" customFormat="false" ht="15" hidden="false" customHeight="true" outlineLevel="0" collapsed="false">
      <c r="B11" s="5" t="s">
        <v>15</v>
      </c>
      <c r="C11" s="6" t="s">
        <v>16</v>
      </c>
    </row>
    <row r="12" customFormat="false" ht="15" hidden="false" customHeight="true" outlineLevel="0" collapsed="false">
      <c r="B12" s="5" t="s">
        <v>17</v>
      </c>
      <c r="C12" s="6" t="s">
        <v>18</v>
      </c>
    </row>
    <row r="14" customFormat="false" ht="15" hidden="false" customHeight="false" outlineLevel="0" collapsed="false">
      <c r="B14" s="3" t="s">
        <v>19</v>
      </c>
      <c r="C14" s="4"/>
    </row>
    <row r="15" customFormat="false" ht="15" hidden="false" customHeight="true" outlineLevel="0" collapsed="false">
      <c r="B15" s="5" t="s">
        <v>20</v>
      </c>
      <c r="C15" s="6" t="s">
        <v>21</v>
      </c>
    </row>
    <row r="16" customFormat="false" ht="45" hidden="false" customHeight="true" outlineLevel="0" collapsed="false">
      <c r="B16" s="5" t="s">
        <v>22</v>
      </c>
      <c r="C16" s="6" t="s">
        <v>23</v>
      </c>
    </row>
    <row r="17" customFormat="false" ht="30" hidden="false" customHeight="true" outlineLevel="0" collapsed="false">
      <c r="B17" s="5" t="s">
        <v>24</v>
      </c>
      <c r="C17" s="6" t="s">
        <v>25</v>
      </c>
    </row>
    <row r="18" customFormat="false" ht="30" hidden="false" customHeight="true" outlineLevel="0" collapsed="false">
      <c r="B18" s="5" t="s">
        <v>26</v>
      </c>
      <c r="C18" s="6" t="s">
        <v>27</v>
      </c>
    </row>
    <row r="19" customFormat="false" ht="30" hidden="false" customHeight="true" outlineLevel="0" collapsed="false">
      <c r="B19" s="5" t="s">
        <v>28</v>
      </c>
      <c r="C19" s="6" t="s">
        <v>29</v>
      </c>
    </row>
    <row r="20" customFormat="false" ht="30" hidden="false" customHeight="true" outlineLevel="0" collapsed="false">
      <c r="B20" s="5" t="s">
        <v>30</v>
      </c>
      <c r="C20" s="6" t="s">
        <v>31</v>
      </c>
    </row>
    <row r="21" customFormat="false" ht="15" hidden="false" customHeight="true" outlineLevel="0" collapsed="false">
      <c r="B21" s="5" t="s">
        <v>32</v>
      </c>
      <c r="C21" s="6" t="s">
        <v>33</v>
      </c>
    </row>
    <row r="23" customFormat="false" ht="15" hidden="false" customHeight="false" outlineLevel="0" collapsed="false">
      <c r="B23" s="3" t="s">
        <v>34</v>
      </c>
      <c r="C23" s="4"/>
    </row>
    <row r="24" customFormat="false" ht="15" hidden="false" customHeight="true" outlineLevel="0" collapsed="false">
      <c r="B24" s="5" t="s">
        <v>35</v>
      </c>
      <c r="C24" s="6" t="s">
        <v>36</v>
      </c>
    </row>
    <row r="25" customFormat="false" ht="15" hidden="false" customHeight="true" outlineLevel="0" collapsed="false">
      <c r="B25" s="5" t="s">
        <v>37</v>
      </c>
      <c r="C25" s="6" t="s">
        <v>38</v>
      </c>
    </row>
    <row r="26" customFormat="false" ht="15" hidden="false" customHeight="true" outlineLevel="0" collapsed="false">
      <c r="B26" s="5" t="s">
        <v>39</v>
      </c>
      <c r="C26" s="6" t="s">
        <v>40</v>
      </c>
    </row>
    <row r="27" customFormat="false" ht="30" hidden="false" customHeight="true" outlineLevel="0" collapsed="false">
      <c r="B27" s="5" t="s">
        <v>41</v>
      </c>
      <c r="C27" s="6" t="s">
        <v>42</v>
      </c>
    </row>
    <row r="28" customFormat="false" ht="30" hidden="false" customHeight="true" outlineLevel="0" collapsed="false">
      <c r="B28" s="5" t="s">
        <v>43</v>
      </c>
      <c r="C28" s="6" t="s">
        <v>44</v>
      </c>
    </row>
    <row r="29" customFormat="false" ht="30" hidden="false" customHeight="true" outlineLevel="0" collapsed="false">
      <c r="B29" s="5" t="s">
        <v>45</v>
      </c>
      <c r="C29" s="6" t="s">
        <v>46</v>
      </c>
    </row>
    <row r="31" customFormat="false" ht="15" hidden="false" customHeight="false" outlineLevel="0" collapsed="false">
      <c r="B31" s="3" t="s">
        <v>47</v>
      </c>
      <c r="C31" s="4"/>
    </row>
    <row r="32" customFormat="false" ht="30" hidden="false" customHeight="true" outlineLevel="0" collapsed="false">
      <c r="B32" s="5" t="s">
        <v>48</v>
      </c>
      <c r="C32" s="6" t="s">
        <v>49</v>
      </c>
    </row>
    <row r="33" customFormat="false" ht="30" hidden="false" customHeight="true" outlineLevel="0" collapsed="false">
      <c r="B33" s="5" t="s">
        <v>50</v>
      </c>
      <c r="C33" s="6" t="s">
        <v>51</v>
      </c>
    </row>
    <row r="34" customFormat="false" ht="30" hidden="false" customHeight="true" outlineLevel="0" collapsed="false">
      <c r="B34" s="5" t="s">
        <v>52</v>
      </c>
      <c r="C34" s="6" t="s">
        <v>53</v>
      </c>
    </row>
    <row r="35" customFormat="false" ht="15" hidden="false" customHeight="true" outlineLevel="0" collapsed="false">
      <c r="B35" s="5" t="s">
        <v>54</v>
      </c>
      <c r="C35" s="6"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30"/>
    <col collapsed="false" customWidth="true" hidden="false" outlineLevel="0" max="6" min="6" style="0" width="22"/>
  </cols>
  <sheetData>
    <row r="1" customFormat="false" ht="25.5" hidden="false" customHeight="true" outlineLevel="0" collapsed="false">
      <c r="B1" s="7" t="s">
        <v>56</v>
      </c>
      <c r="C1" s="7"/>
      <c r="D1" s="7"/>
      <c r="E1" s="7"/>
      <c r="F1" s="7"/>
    </row>
    <row r="2" customFormat="false" ht="15" hidden="false" customHeight="false" outlineLevel="0" collapsed="false">
      <c r="B2" s="8" t="s">
        <v>57</v>
      </c>
      <c r="C2" s="8"/>
      <c r="D2" s="8"/>
      <c r="E2" s="8"/>
      <c r="F2" s="8"/>
    </row>
    <row r="3" customFormat="false" ht="15" hidden="false" customHeight="false" outlineLevel="0" collapsed="false">
      <c r="B3" s="8" t="s">
        <v>58</v>
      </c>
      <c r="C3" s="8"/>
      <c r="D3" s="8"/>
      <c r="E3" s="8"/>
      <c r="F3" s="8"/>
    </row>
    <row r="5" customFormat="false" ht="19.5" hidden="false" customHeight="true" outlineLevel="0" collapsed="false">
      <c r="B5" s="9" t="s">
        <v>59</v>
      </c>
      <c r="C5" s="9"/>
      <c r="D5" s="9"/>
      <c r="E5" s="9"/>
      <c r="F5" s="9"/>
    </row>
    <row r="6" customFormat="false" ht="45" hidden="false" customHeight="true" outlineLevel="0" collapsed="false">
      <c r="B6" s="10" t="s">
        <v>60</v>
      </c>
      <c r="C6" s="10"/>
      <c r="D6" s="10"/>
      <c r="E6" s="10"/>
      <c r="F6" s="10"/>
    </row>
    <row r="7" customFormat="false" ht="30" hidden="false" customHeight="true" outlineLevel="0" collapsed="false">
      <c r="B7" s="10" t="s">
        <v>61</v>
      </c>
      <c r="C7" s="10"/>
      <c r="D7" s="10"/>
      <c r="E7" s="10"/>
      <c r="F7" s="10"/>
    </row>
    <row r="9" customFormat="false" ht="19.5" hidden="false" customHeight="true" outlineLevel="0" collapsed="false">
      <c r="B9" s="9" t="s">
        <v>62</v>
      </c>
      <c r="C9" s="9"/>
      <c r="D9" s="9"/>
      <c r="E9" s="9"/>
      <c r="F9" s="9"/>
    </row>
    <row r="10" customFormat="false" ht="15" hidden="false" customHeight="true" outlineLevel="0" collapsed="false">
      <c r="B10" s="10" t="s">
        <v>63</v>
      </c>
      <c r="C10" s="10"/>
      <c r="D10" s="10"/>
      <c r="E10" s="10"/>
      <c r="F10" s="10"/>
    </row>
    <row r="11" customFormat="false" ht="15" hidden="false" customHeight="true" outlineLevel="0" collapsed="false">
      <c r="B11" s="10" t="s">
        <v>64</v>
      </c>
      <c r="C11" s="10"/>
      <c r="D11" s="10"/>
      <c r="E11" s="10"/>
      <c r="F11" s="10"/>
    </row>
    <row r="12" customFormat="false" ht="15" hidden="false" customHeight="true" outlineLevel="0" collapsed="false">
      <c r="B12" s="10" t="s">
        <v>65</v>
      </c>
      <c r="C12" s="10"/>
      <c r="D12" s="10"/>
      <c r="E12" s="10"/>
      <c r="F12" s="10"/>
    </row>
    <row r="13" customFormat="false" ht="15" hidden="false" customHeight="true" outlineLevel="0" collapsed="false">
      <c r="B13" s="10" t="s">
        <v>66</v>
      </c>
      <c r="C13" s="10"/>
      <c r="D13" s="10"/>
      <c r="E13" s="10"/>
      <c r="F13" s="10"/>
    </row>
    <row r="14" customFormat="false" ht="15" hidden="false" customHeight="true" outlineLevel="0" collapsed="false">
      <c r="B14" s="10" t="s">
        <v>67</v>
      </c>
      <c r="C14" s="10"/>
      <c r="D14" s="10"/>
      <c r="E14" s="10"/>
      <c r="F14" s="10"/>
    </row>
    <row r="16" customFormat="false" ht="19.5" hidden="false" customHeight="true" outlineLevel="0" collapsed="false">
      <c r="B16" s="9" t="s">
        <v>68</v>
      </c>
      <c r="C16" s="9"/>
      <c r="D16" s="9"/>
      <c r="E16" s="9"/>
      <c r="F16" s="9"/>
    </row>
    <row r="17" customFormat="false" ht="30" hidden="false" customHeight="true" outlineLevel="0" collapsed="false">
      <c r="B17" s="10" t="s">
        <v>69</v>
      </c>
      <c r="C17" s="10"/>
      <c r="D17" s="10"/>
      <c r="E17" s="10"/>
      <c r="F17" s="10"/>
    </row>
    <row r="18" customFormat="false" ht="30" hidden="false" customHeight="true" outlineLevel="0" collapsed="false">
      <c r="B18" s="10" t="s">
        <v>70</v>
      </c>
      <c r="C18" s="10"/>
      <c r="D18" s="10"/>
      <c r="E18" s="10"/>
      <c r="F18" s="10"/>
    </row>
    <row r="19" customFormat="false" ht="30" hidden="false" customHeight="true" outlineLevel="0" collapsed="false">
      <c r="B19" s="10" t="s">
        <v>71</v>
      </c>
      <c r="C19" s="10"/>
      <c r="D19" s="10"/>
      <c r="E19" s="10"/>
      <c r="F19" s="10"/>
    </row>
    <row r="20" customFormat="false" ht="15" hidden="false" customHeight="true" outlineLevel="0" collapsed="false">
      <c r="B20" s="10" t="s">
        <v>72</v>
      </c>
      <c r="C20" s="10"/>
      <c r="D20" s="10"/>
      <c r="E20" s="10"/>
      <c r="F20" s="10"/>
    </row>
    <row r="22" customFormat="false" ht="19.5" hidden="false" customHeight="true" outlineLevel="0" collapsed="false">
      <c r="B22" s="9" t="s">
        <v>73</v>
      </c>
      <c r="C22" s="9"/>
      <c r="D22" s="9"/>
      <c r="E22" s="9"/>
      <c r="F22" s="9"/>
    </row>
    <row r="23" customFormat="false" ht="15" hidden="false" customHeight="true" outlineLevel="0" collapsed="false">
      <c r="B23" s="10" t="s">
        <v>74</v>
      </c>
      <c r="C23" s="10"/>
      <c r="D23" s="10"/>
      <c r="E23" s="10"/>
      <c r="F23" s="10"/>
    </row>
    <row r="24" customFormat="false" ht="15" hidden="false" customHeight="true" outlineLevel="0" collapsed="false">
      <c r="B24" s="10" t="s">
        <v>75</v>
      </c>
      <c r="C24" s="10"/>
      <c r="D24" s="10"/>
      <c r="E24" s="10"/>
      <c r="F24" s="10"/>
    </row>
    <row r="25" customFormat="false" ht="30" hidden="false" customHeight="true" outlineLevel="0" collapsed="false">
      <c r="B25" s="10" t="s">
        <v>76</v>
      </c>
      <c r="C25" s="10"/>
      <c r="D25" s="10"/>
      <c r="E25" s="10"/>
      <c r="F25" s="10"/>
    </row>
    <row r="26" customFormat="false" ht="30" hidden="false" customHeight="true" outlineLevel="0" collapsed="false">
      <c r="B26" s="10" t="s">
        <v>77</v>
      </c>
      <c r="C26" s="10"/>
      <c r="D26" s="10"/>
      <c r="E26" s="10"/>
      <c r="F26" s="10"/>
    </row>
    <row r="27" customFormat="false" ht="30" hidden="false" customHeight="true" outlineLevel="0" collapsed="false">
      <c r="B27" s="10" t="s">
        <v>78</v>
      </c>
      <c r="C27" s="10"/>
      <c r="D27" s="10"/>
      <c r="E27" s="10"/>
      <c r="F27" s="10"/>
    </row>
    <row r="29" customFormat="false" ht="19.5" hidden="false" customHeight="true" outlineLevel="0" collapsed="false">
      <c r="B29" s="9" t="s">
        <v>79</v>
      </c>
      <c r="C29" s="9"/>
      <c r="D29" s="9"/>
      <c r="E29" s="9"/>
      <c r="F29" s="9"/>
    </row>
    <row r="30" customFormat="false" ht="15" hidden="false" customHeight="false" outlineLevel="0" collapsed="false">
      <c r="B30" s="8" t="s">
        <v>80</v>
      </c>
      <c r="C30" s="8"/>
      <c r="D30" s="8"/>
      <c r="E30" s="8"/>
      <c r="F30" s="8"/>
    </row>
    <row r="31" customFormat="false" ht="15" hidden="false" customHeight="true" outlineLevel="0" collapsed="false">
      <c r="B31" s="11" t="s">
        <v>81</v>
      </c>
      <c r="C31" s="11" t="s">
        <v>82</v>
      </c>
      <c r="D31" s="11"/>
      <c r="E31" s="11"/>
      <c r="F31" s="11" t="s">
        <v>83</v>
      </c>
    </row>
    <row r="32" customFormat="false" ht="30" hidden="false" customHeight="true" outlineLevel="0" collapsed="false">
      <c r="B32" s="12" t="str">
        <f aca="false">Reference_Data!O5</f>
        <v>Spot Award</v>
      </c>
      <c r="C32" s="12" t="str">
        <f aca="false">Reference_Data!Q5</f>
        <v>Immediate recognition of an above-standard contribution.</v>
      </c>
      <c r="D32" s="12"/>
      <c r="E32" s="12"/>
      <c r="F32" s="12" t="n">
        <f aca="false">Reference_Data!P5</f>
        <v>10</v>
      </c>
    </row>
    <row r="33" customFormat="false" ht="30" hidden="false" customHeight="true" outlineLevel="0" collapsed="false">
      <c r="B33" s="12" t="str">
        <f aca="false">Reference_Data!O6</f>
        <v>Cross-Department Recognition</v>
      </c>
      <c r="C33" s="12" t="str">
        <f aca="false">Reference_Data!Q6</f>
        <v>Significant assistance that helped another department achieve a goal. Division Lead approval required.</v>
      </c>
      <c r="D33" s="12"/>
      <c r="E33" s="12"/>
      <c r="F33" s="12" t="n">
        <f aca="false">Reference_Data!P6</f>
        <v>15</v>
      </c>
    </row>
    <row r="34" customFormat="false" ht="30" hidden="false" customHeight="true" outlineLevel="0" collapsed="false">
      <c r="B34" s="12" t="str">
        <f aca="false">Reference_Data!O7</f>
        <v>Mentorship Award</v>
      </c>
      <c r="C34" s="12" t="str">
        <f aca="false">Reference_Data!Q7</f>
        <v>Coached peers to a higher certification level.</v>
      </c>
      <c r="D34" s="12"/>
      <c r="E34" s="12"/>
      <c r="F34" s="12" t="n">
        <f aca="false">Reference_Data!P7</f>
        <v>15</v>
      </c>
    </row>
    <row r="35" customFormat="false" ht="30" hidden="false" customHeight="true" outlineLevel="0" collapsed="false">
      <c r="B35" s="12" t="str">
        <f aca="false">Reference_Data!O8</f>
        <v>Quality Excellence Award</v>
      </c>
      <c r="C35" s="12" t="str">
        <f aca="false">Reference_Data!Q8</f>
        <v>Sustained zero-defect / top First Pass Yield performance.</v>
      </c>
      <c r="D35" s="12"/>
      <c r="E35" s="12"/>
      <c r="F35" s="12" t="n">
        <f aca="false">Reference_Data!P8</f>
        <v>20</v>
      </c>
    </row>
    <row r="36" customFormat="false" ht="30" hidden="false" customHeight="true" outlineLevel="0" collapsed="false">
      <c r="B36" s="12" t="str">
        <f aca="false">Reference_Data!O9</f>
        <v>Zero-Defect Milestone</v>
      </c>
      <c r="C36" s="12" t="str">
        <f aca="false">Reference_Data!Q9</f>
        <v>Consecutive-output milestone with zero QA findings.</v>
      </c>
      <c r="D36" s="12"/>
      <c r="E36" s="12"/>
      <c r="F36" s="12" t="n">
        <f aca="false">Reference_Data!P9</f>
        <v>20</v>
      </c>
    </row>
    <row r="37" customFormat="false" ht="30" hidden="false" customHeight="true" outlineLevel="0" collapsed="false">
      <c r="B37" s="12" t="str">
        <f aca="false">Reference_Data!O10</f>
        <v>Innovation / Process Improvement</v>
      </c>
      <c r="C37" s="12" t="str">
        <f aca="false">Reference_Data!Q10</f>
        <v>Improvement adopted that measurably reduces COQ or cycle time.</v>
      </c>
      <c r="D37" s="12"/>
      <c r="E37" s="12"/>
      <c r="F37" s="12" t="n">
        <f aca="false">Reference_Data!P10</f>
        <v>25</v>
      </c>
    </row>
    <row r="38" customFormat="false" ht="30" hidden="false" customHeight="true" outlineLevel="0" collapsed="false">
      <c r="B38" s="12" t="str">
        <f aca="false">Reference_Data!O11</f>
        <v>Employee of the Quarter</v>
      </c>
      <c r="C38" s="12" t="str">
        <f aca="false">Reference_Data!Q11</f>
        <v>Top overall contributor for the quarter (committee selection).</v>
      </c>
      <c r="D38" s="12"/>
      <c r="E38" s="12"/>
      <c r="F38" s="12" t="n">
        <f aca="false">Reference_Data!P11</f>
        <v>40</v>
      </c>
    </row>
    <row r="40" customFormat="false" ht="19.5" hidden="false" customHeight="true" outlineLevel="0" collapsed="false">
      <c r="B40" s="9" t="s">
        <v>84</v>
      </c>
      <c r="C40" s="9"/>
      <c r="D40" s="9"/>
      <c r="E40" s="9"/>
      <c r="F40" s="9"/>
    </row>
    <row r="41" customFormat="false" ht="45" hidden="false" customHeight="true" outlineLevel="0" collapsed="false">
      <c r="B41" s="10" t="s">
        <v>85</v>
      </c>
      <c r="C41" s="10"/>
      <c r="D41" s="10"/>
      <c r="E41" s="10"/>
      <c r="F41" s="10"/>
    </row>
    <row r="42" customFormat="false" ht="15" hidden="false" customHeight="false" outlineLevel="0" collapsed="false">
      <c r="B42" s="13" t="s">
        <v>86</v>
      </c>
      <c r="C42" s="13"/>
      <c r="D42" s="13"/>
      <c r="E42" s="13"/>
      <c r="F42" s="13"/>
    </row>
    <row r="43" customFormat="false" ht="30" hidden="false" customHeight="true" outlineLevel="0" collapsed="false">
      <c r="B43" s="10" t="s">
        <v>87</v>
      </c>
      <c r="C43" s="10"/>
      <c r="D43" s="10"/>
      <c r="E43" s="10"/>
      <c r="F43" s="10"/>
    </row>
    <row r="44" customFormat="false" ht="45" hidden="false" customHeight="true" outlineLevel="0" collapsed="false">
      <c r="B44" s="10" t="s">
        <v>88</v>
      </c>
      <c r="C44" s="10"/>
      <c r="D44" s="10"/>
      <c r="E44" s="10"/>
      <c r="F44" s="10"/>
    </row>
    <row r="45" customFormat="false" ht="30" hidden="false" customHeight="true" outlineLevel="0" collapsed="false">
      <c r="B45" s="10" t="s">
        <v>89</v>
      </c>
      <c r="C45" s="10"/>
      <c r="D45" s="10"/>
      <c r="E45" s="10"/>
      <c r="F45" s="10"/>
    </row>
    <row r="46" customFormat="false" ht="15" hidden="false" customHeight="true" outlineLevel="0" collapsed="false">
      <c r="B46" s="10" t="s">
        <v>90</v>
      </c>
      <c r="C46" s="10"/>
      <c r="D46" s="10"/>
      <c r="E46" s="10"/>
      <c r="F46" s="10"/>
    </row>
    <row r="47" customFormat="false" ht="15" hidden="false" customHeight="true" outlineLevel="0" collapsed="false">
      <c r="B47" s="10" t="s">
        <v>91</v>
      </c>
      <c r="C47" s="10"/>
      <c r="D47" s="10"/>
      <c r="E47" s="10"/>
      <c r="F47" s="10"/>
    </row>
    <row r="48" customFormat="false" ht="45" hidden="false" customHeight="true" outlineLevel="0" collapsed="false">
      <c r="B48" s="10" t="s">
        <v>92</v>
      </c>
      <c r="C48" s="10"/>
      <c r="D48" s="10"/>
      <c r="E48" s="10"/>
      <c r="F48" s="10"/>
    </row>
    <row r="50" customFormat="false" ht="19.5" hidden="false" customHeight="true" outlineLevel="0" collapsed="false">
      <c r="B50" s="9" t="s">
        <v>93</v>
      </c>
      <c r="C50" s="9"/>
      <c r="D50" s="9"/>
      <c r="E50" s="9"/>
      <c r="F50" s="9"/>
    </row>
    <row r="51" customFormat="false" ht="30" hidden="false" customHeight="true" outlineLevel="0" collapsed="false">
      <c r="B51" s="10" t="s">
        <v>94</v>
      </c>
      <c r="C51" s="10"/>
      <c r="D51" s="10"/>
      <c r="E51" s="10"/>
      <c r="F51" s="10"/>
    </row>
    <row r="52" customFormat="false" ht="15" hidden="false" customHeight="true" outlineLevel="0" collapsed="false">
      <c r="B52" s="11" t="s">
        <v>95</v>
      </c>
      <c r="C52" s="11" t="s">
        <v>96</v>
      </c>
      <c r="D52" s="11"/>
      <c r="E52" s="11"/>
      <c r="F52" s="11" t="s">
        <v>97</v>
      </c>
    </row>
    <row r="53" customFormat="false" ht="30" hidden="false" customHeight="true" outlineLevel="0" collapsed="false">
      <c r="B53" s="12" t="str">
        <f aca="false">Reference_Data!H5</f>
        <v>Minor</v>
      </c>
      <c r="C53" s="12" t="str">
        <f aca="false">Reference_Data!I5</f>
        <v>Defect caught internally; no customer, AHJ or utility impact; COQ below ₱5,000.</v>
      </c>
      <c r="D53" s="12"/>
      <c r="E53" s="12"/>
      <c r="F53" s="12" t="str">
        <f aca="false">Reference_Data!J5</f>
        <v>Coaching Session</v>
      </c>
    </row>
    <row r="54" customFormat="false" ht="30" hidden="false" customHeight="true" outlineLevel="0" collapsed="false">
      <c r="B54" s="12" t="str">
        <f aca="false">Reference_Data!H6</f>
        <v>Major</v>
      </c>
      <c r="C54" s="12" t="str">
        <f aca="false">Reference_Data!I6</f>
        <v>Defect reached AHJ / utility / customer OR required formal rework; schedule impact.</v>
      </c>
      <c r="D54" s="12"/>
      <c r="E54" s="12"/>
      <c r="F54" s="12" t="str">
        <f aca="false">Reference_Data!J6</f>
        <v>Written Warning + Retraining</v>
      </c>
    </row>
    <row r="55" customFormat="false" ht="30" hidden="false" customHeight="true" outlineLevel="0" collapsed="false">
      <c r="B55" s="12" t="str">
        <f aca="false">Reference_Data!H7</f>
        <v>Critical</v>
      </c>
      <c r="C55" s="12" t="str">
        <f aca="false">Reference_Data!I7</f>
        <v>Safety, code or compliance risk, field rework, or repeat Major within 90 days.</v>
      </c>
      <c r="D55" s="12"/>
      <c r="E55" s="12"/>
      <c r="F55" s="12" t="str">
        <f aca="false">Reference_Data!J7</f>
        <v>Decertification Review / Final Written Warning</v>
      </c>
    </row>
    <row r="57" customFormat="false" ht="15" hidden="false" customHeight="false" outlineLevel="0" collapsed="false">
      <c r="B57" s="13" t="s">
        <v>98</v>
      </c>
      <c r="C57" s="13"/>
      <c r="D57" s="13"/>
      <c r="E57" s="13"/>
      <c r="F57" s="13"/>
    </row>
    <row r="58" customFormat="false" ht="15" hidden="false" customHeight="true" outlineLevel="0" collapsed="false">
      <c r="B58" s="11" t="s">
        <v>99</v>
      </c>
      <c r="C58" s="11" t="s">
        <v>100</v>
      </c>
      <c r="D58" s="11"/>
      <c r="E58" s="11"/>
      <c r="F58" s="11" t="s">
        <v>101</v>
      </c>
    </row>
    <row r="59" customFormat="false" ht="30" hidden="false" customHeight="true" outlineLevel="0" collapsed="false">
      <c r="B59" s="12" t="str">
        <f aca="false">Reference_Data!S5</f>
        <v>Coaching Session</v>
      </c>
      <c r="C59" s="12" t="str">
        <f aca="false">Reference_Data!U5</f>
        <v>Documented one-on-one coaching; non-disciplinary.</v>
      </c>
      <c r="D59" s="12"/>
      <c r="E59" s="12"/>
      <c r="F59" s="12" t="n">
        <f aca="false">Reference_Data!T5</f>
        <v>0</v>
      </c>
    </row>
    <row r="60" customFormat="false" ht="30" hidden="false" customHeight="true" outlineLevel="0" collapsed="false">
      <c r="B60" s="12" t="str">
        <f aca="false">Reference_Data!S6</f>
        <v>Verbal Warning</v>
      </c>
      <c r="C60" s="12" t="str">
        <f aca="false">Reference_Data!U6</f>
        <v>Documented verbal warning.</v>
      </c>
      <c r="D60" s="12"/>
      <c r="E60" s="12"/>
      <c r="F60" s="12" t="n">
        <f aca="false">Reference_Data!T6</f>
        <v>5</v>
      </c>
    </row>
    <row r="61" customFormat="false" ht="30" hidden="false" customHeight="true" outlineLevel="0" collapsed="false">
      <c r="B61" s="12" t="str">
        <f aca="false">Reference_Data!S7</f>
        <v>Written Warning</v>
      </c>
      <c r="C61" s="12" t="str">
        <f aca="false">Reference_Data!U7</f>
        <v>Formal written warning after due process.</v>
      </c>
      <c r="D61" s="12"/>
      <c r="E61" s="12"/>
      <c r="F61" s="12" t="n">
        <f aca="false">Reference_Data!T7</f>
        <v>15</v>
      </c>
    </row>
    <row r="62" customFormat="false" ht="30" hidden="false" customHeight="true" outlineLevel="0" collapsed="false">
      <c r="B62" s="12" t="str">
        <f aca="false">Reference_Data!S8</f>
        <v>Performance Improvement Plan (PIP)</v>
      </c>
      <c r="C62" s="12" t="str">
        <f aca="false">Reference_Data!U8</f>
        <v>Structured improvement plan with defined targets and timeline.</v>
      </c>
      <c r="D62" s="12"/>
      <c r="E62" s="12"/>
      <c r="F62" s="12" t="n">
        <f aca="false">Reference_Data!T8</f>
        <v>20</v>
      </c>
    </row>
    <row r="63" customFormat="false" ht="30" hidden="false" customHeight="true" outlineLevel="0" collapsed="false">
      <c r="B63" s="12" t="str">
        <f aca="false">Reference_Data!S9</f>
        <v>Final Written Warning</v>
      </c>
      <c r="C63" s="12" t="str">
        <f aca="false">Reference_Data!U9</f>
        <v>Last formal warning before escalation to HR.</v>
      </c>
      <c r="D63" s="12"/>
      <c r="E63" s="12"/>
      <c r="F63" s="12" t="n">
        <f aca="false">Reference_Data!T9</f>
        <v>30</v>
      </c>
    </row>
    <row r="64" customFormat="false" ht="30" hidden="false" customHeight="true" outlineLevel="0" collapsed="false">
      <c r="B64" s="12" t="str">
        <f aca="false">Reference_Data!S10</f>
        <v>Decertification</v>
      </c>
      <c r="C64" s="12" t="str">
        <f aca="false">Reference_Data!U10</f>
        <v>Removal of process certification; retraining and reassessment required.</v>
      </c>
      <c r="D64" s="12"/>
      <c r="E64" s="12"/>
      <c r="F64" s="12" t="n">
        <f aca="false">Reference_Data!T10</f>
        <v>30</v>
      </c>
    </row>
    <row r="65" customFormat="false" ht="30" hidden="false" customHeight="true" outlineLevel="0" collapsed="false">
      <c r="B65" s="12" t="str">
        <f aca="false">Reference_Data!S11</f>
        <v>Suspension (HR Determination)</v>
      </c>
      <c r="C65" s="12" t="str">
        <f aca="false">Reference_Data!U11</f>
        <v>HR-determined sanction following due process.</v>
      </c>
      <c r="D65" s="12"/>
      <c r="E65" s="12"/>
      <c r="F65" s="12" t="n">
        <f aca="false">Reference_Data!T11</f>
        <v>50</v>
      </c>
    </row>
    <row r="67" customFormat="false" ht="15" hidden="false" customHeight="false" outlineLevel="0" collapsed="false">
      <c r="B67" s="13" t="s">
        <v>102</v>
      </c>
      <c r="C67" s="13"/>
      <c r="D67" s="13"/>
      <c r="E67" s="13"/>
      <c r="F67" s="13"/>
    </row>
    <row r="68" customFormat="false" ht="30" hidden="false" customHeight="true" outlineLevel="0" collapsed="false">
      <c r="B68" s="10" t="s">
        <v>103</v>
      </c>
      <c r="C68" s="10"/>
      <c r="D68" s="10"/>
      <c r="E68" s="10"/>
      <c r="F68" s="10"/>
    </row>
    <row r="69" customFormat="false" ht="30" hidden="false" customHeight="true" outlineLevel="0" collapsed="false">
      <c r="B69" s="10" t="s">
        <v>104</v>
      </c>
      <c r="C69" s="10"/>
      <c r="D69" s="10"/>
      <c r="E69" s="10"/>
      <c r="F69" s="10"/>
    </row>
    <row r="70" customFormat="false" ht="15" hidden="false" customHeight="true" outlineLevel="0" collapsed="false">
      <c r="B70" s="10" t="s">
        <v>105</v>
      </c>
      <c r="C70" s="10"/>
      <c r="D70" s="10"/>
      <c r="E70" s="10"/>
      <c r="F70" s="10"/>
    </row>
    <row r="71" customFormat="false" ht="30" hidden="false" customHeight="true" outlineLevel="0" collapsed="false">
      <c r="B71" s="10" t="s">
        <v>106</v>
      </c>
      <c r="C71" s="10"/>
      <c r="D71" s="10"/>
      <c r="E71" s="10"/>
      <c r="F71" s="10"/>
    </row>
    <row r="73" customFormat="false" ht="19.5" hidden="false" customHeight="true" outlineLevel="0" collapsed="false">
      <c r="B73" s="9" t="s">
        <v>107</v>
      </c>
      <c r="C73" s="9"/>
      <c r="D73" s="9"/>
      <c r="E73" s="9"/>
      <c r="F73" s="9"/>
    </row>
    <row r="74" customFormat="false" ht="30" hidden="false" customHeight="true" outlineLevel="0" collapsed="false">
      <c r="B74" s="10" t="s">
        <v>108</v>
      </c>
      <c r="C74" s="10"/>
      <c r="D74" s="10"/>
      <c r="E74" s="10"/>
      <c r="F74" s="10"/>
    </row>
    <row r="75" customFormat="false" ht="15" hidden="false" customHeight="true" outlineLevel="0" collapsed="false">
      <c r="B75" s="10" t="s">
        <v>109</v>
      </c>
      <c r="C75" s="10"/>
      <c r="D75" s="10"/>
      <c r="E75" s="10"/>
      <c r="F75" s="10"/>
    </row>
    <row r="76" customFormat="false" ht="30" hidden="false" customHeight="true" outlineLevel="0" collapsed="false">
      <c r="B76" s="10" t="s">
        <v>110</v>
      </c>
      <c r="C76" s="10"/>
      <c r="D76" s="10"/>
      <c r="E76" s="10"/>
      <c r="F76" s="10"/>
    </row>
    <row r="77" customFormat="false" ht="30" hidden="false" customHeight="true" outlineLevel="0" collapsed="false">
      <c r="B77" s="10" t="s">
        <v>111</v>
      </c>
      <c r="C77" s="10"/>
      <c r="D77" s="10"/>
      <c r="E77" s="10"/>
      <c r="F77" s="10"/>
    </row>
    <row r="79" customFormat="false" ht="19.5" hidden="false" customHeight="true" outlineLevel="0" collapsed="false">
      <c r="B79" s="9" t="s">
        <v>112</v>
      </c>
      <c r="C79" s="9"/>
      <c r="D79" s="9"/>
      <c r="E79" s="9"/>
      <c r="F79" s="9"/>
    </row>
    <row r="80" customFormat="false" ht="15" hidden="false" customHeight="true" outlineLevel="0" collapsed="false">
      <c r="B80" s="10" t="s">
        <v>113</v>
      </c>
      <c r="C80" s="10"/>
      <c r="D80" s="10"/>
      <c r="E80" s="10"/>
      <c r="F80" s="10"/>
    </row>
    <row r="81" customFormat="false" ht="15" hidden="false" customHeight="true" outlineLevel="0" collapsed="false">
      <c r="B81" s="11" t="s">
        <v>114</v>
      </c>
      <c r="C81" s="11" t="s">
        <v>100</v>
      </c>
      <c r="D81" s="11"/>
      <c r="E81" s="11"/>
      <c r="F81" s="11" t="s">
        <v>115</v>
      </c>
    </row>
    <row r="82" customFormat="false" ht="30" hidden="false" customHeight="true" outlineLevel="0" collapsed="false">
      <c r="B82" s="12" t="s">
        <v>116</v>
      </c>
      <c r="C82" s="12" t="s">
        <v>117</v>
      </c>
      <c r="D82" s="12"/>
      <c r="E82" s="12"/>
      <c r="F82" s="12" t="s">
        <v>118</v>
      </c>
    </row>
    <row r="83" customFormat="false" ht="30" hidden="false" customHeight="true" outlineLevel="0" collapsed="false">
      <c r="B83" s="12" t="s">
        <v>119</v>
      </c>
      <c r="C83" s="12" t="s">
        <v>120</v>
      </c>
      <c r="D83" s="12"/>
      <c r="E83" s="12"/>
      <c r="F83" s="12" t="s">
        <v>121</v>
      </c>
    </row>
    <row r="84" customFormat="false" ht="30" hidden="false" customHeight="true" outlineLevel="0" collapsed="false">
      <c r="B84" s="12" t="s">
        <v>122</v>
      </c>
      <c r="C84" s="12" t="s">
        <v>123</v>
      </c>
      <c r="D84" s="12"/>
      <c r="E84" s="12"/>
      <c r="F84" s="12" t="s">
        <v>124</v>
      </c>
    </row>
    <row r="85" customFormat="false" ht="30" hidden="false" customHeight="true" outlineLevel="0" collapsed="false">
      <c r="B85" s="12" t="s">
        <v>125</v>
      </c>
      <c r="C85" s="12" t="s">
        <v>126</v>
      </c>
      <c r="D85" s="12"/>
      <c r="E85" s="12"/>
      <c r="F85" s="12" t="s">
        <v>127</v>
      </c>
    </row>
    <row r="86" customFormat="false" ht="30" hidden="false" customHeight="true" outlineLevel="0" collapsed="false">
      <c r="B86" s="12" t="s">
        <v>128</v>
      </c>
      <c r="C86" s="12" t="s">
        <v>129</v>
      </c>
      <c r="D86" s="12"/>
      <c r="E86" s="12"/>
      <c r="F86" s="12" t="s">
        <v>130</v>
      </c>
    </row>
    <row r="87" customFormat="false" ht="30" hidden="false" customHeight="true" outlineLevel="0" collapsed="false">
      <c r="B87" s="12" t="s">
        <v>131</v>
      </c>
      <c r="C87" s="12" t="s">
        <v>132</v>
      </c>
      <c r="D87" s="12"/>
      <c r="E87" s="12"/>
      <c r="F87" s="12" t="s">
        <v>127</v>
      </c>
    </row>
    <row r="88" customFormat="false" ht="30" hidden="false" customHeight="true" outlineLevel="0" collapsed="false">
      <c r="B88" s="12" t="s">
        <v>133</v>
      </c>
      <c r="C88" s="12" t="s">
        <v>134</v>
      </c>
      <c r="D88" s="12"/>
      <c r="E88" s="12"/>
      <c r="F88" s="12" t="s">
        <v>135</v>
      </c>
    </row>
    <row r="89" customFormat="false" ht="30" hidden="false" customHeight="true" outlineLevel="0" collapsed="false">
      <c r="B89" s="12" t="s">
        <v>136</v>
      </c>
      <c r="C89" s="12" t="s">
        <v>137</v>
      </c>
      <c r="D89" s="12"/>
      <c r="E89" s="12"/>
      <c r="F89" s="12" t="s">
        <v>138</v>
      </c>
    </row>
    <row r="91" customFormat="false" ht="19.5" hidden="false" customHeight="true" outlineLevel="0" collapsed="false">
      <c r="B91" s="9" t="s">
        <v>139</v>
      </c>
      <c r="C91" s="9"/>
      <c r="D91" s="9"/>
      <c r="E91" s="9"/>
      <c r="F91" s="9"/>
    </row>
    <row r="92" customFormat="false" ht="15" hidden="false" customHeight="true" outlineLevel="0" collapsed="false">
      <c r="B92" s="11" t="s">
        <v>140</v>
      </c>
      <c r="C92" s="11" t="s">
        <v>141</v>
      </c>
      <c r="D92" s="11"/>
      <c r="E92" s="11"/>
      <c r="F92" s="11" t="s">
        <v>142</v>
      </c>
    </row>
    <row r="93" customFormat="false" ht="30" hidden="false" customHeight="true" outlineLevel="0" collapsed="false">
      <c r="B93" s="12" t="s">
        <v>143</v>
      </c>
      <c r="C93" s="12" t="s">
        <v>144</v>
      </c>
      <c r="D93" s="12"/>
      <c r="E93" s="12"/>
      <c r="F93" s="12" t="s">
        <v>9</v>
      </c>
    </row>
    <row r="94" customFormat="false" ht="30" hidden="false" customHeight="true" outlineLevel="0" collapsed="false">
      <c r="B94" s="12" t="s">
        <v>145</v>
      </c>
      <c r="C94" s="12" t="s">
        <v>146</v>
      </c>
      <c r="D94" s="12"/>
      <c r="E94" s="12"/>
      <c r="F94" s="12" t="s">
        <v>147</v>
      </c>
    </row>
    <row r="95" customFormat="false" ht="30" hidden="false" customHeight="true" outlineLevel="0" collapsed="false">
      <c r="B95" s="12" t="s">
        <v>148</v>
      </c>
      <c r="C95" s="12" t="s">
        <v>149</v>
      </c>
      <c r="D95" s="12"/>
      <c r="E95" s="12"/>
      <c r="F95" s="12" t="s">
        <v>150</v>
      </c>
    </row>
    <row r="96" customFormat="false" ht="30" hidden="false" customHeight="true" outlineLevel="0" collapsed="false">
      <c r="B96" s="12" t="s">
        <v>151</v>
      </c>
      <c r="C96" s="12" t="s">
        <v>152</v>
      </c>
      <c r="D96" s="12"/>
      <c r="E96" s="12"/>
      <c r="F96" s="12" t="s">
        <v>153</v>
      </c>
    </row>
    <row r="97" customFormat="false" ht="30" hidden="false" customHeight="true" outlineLevel="0" collapsed="false">
      <c r="B97" s="12" t="s">
        <v>154</v>
      </c>
      <c r="C97" s="12" t="s">
        <v>155</v>
      </c>
      <c r="D97" s="12"/>
      <c r="E97" s="12"/>
      <c r="F97" s="12" t="s">
        <v>156</v>
      </c>
    </row>
    <row r="99" customFormat="false" ht="30" hidden="false" customHeight="true" outlineLevel="0" collapsed="false">
      <c r="B99" s="10" t="s">
        <v>157</v>
      </c>
      <c r="C99" s="10"/>
      <c r="D99" s="10"/>
      <c r="E99" s="10"/>
      <c r="F99" s="10"/>
    </row>
    <row r="101" customFormat="false" ht="19.5" hidden="false" customHeight="true" outlineLevel="0" collapsed="false">
      <c r="B101" s="9" t="s">
        <v>158</v>
      </c>
      <c r="C101" s="9"/>
      <c r="D101" s="9"/>
      <c r="E101" s="9"/>
      <c r="F101" s="9"/>
    </row>
    <row r="102" customFormat="false" ht="15" hidden="false" customHeight="true" outlineLevel="0" collapsed="false">
      <c r="B102" s="10" t="s">
        <v>159</v>
      </c>
      <c r="C102" s="10"/>
      <c r="D102" s="10"/>
      <c r="E102" s="10"/>
      <c r="F102" s="10"/>
    </row>
    <row r="103" customFormat="false" ht="15" hidden="false" customHeight="true" outlineLevel="0" collapsed="false">
      <c r="B103" s="10" t="s">
        <v>160</v>
      </c>
      <c r="C103" s="10"/>
      <c r="D103" s="10"/>
      <c r="E103" s="10"/>
      <c r="F103" s="10"/>
    </row>
    <row r="104" customFormat="false" ht="15" hidden="false" customHeight="true" outlineLevel="0" collapsed="false">
      <c r="B104" s="10" t="s">
        <v>161</v>
      </c>
      <c r="C104" s="10"/>
      <c r="D104" s="10"/>
      <c r="E104" s="10"/>
      <c r="F104" s="10"/>
    </row>
    <row r="105" customFormat="false" ht="15" hidden="false" customHeight="true" outlineLevel="0" collapsed="false">
      <c r="B105" s="10" t="s">
        <v>162</v>
      </c>
      <c r="C105" s="10"/>
      <c r="D105" s="10"/>
      <c r="E105" s="10"/>
      <c r="F105" s="10"/>
    </row>
    <row r="106" customFormat="false" ht="15" hidden="false" customHeight="true" outlineLevel="0" collapsed="false">
      <c r="B106" s="10" t="s">
        <v>163</v>
      </c>
      <c r="C106" s="10"/>
      <c r="D106" s="10"/>
      <c r="E106" s="10"/>
      <c r="F106" s="10"/>
    </row>
    <row r="107" customFormat="false" ht="15" hidden="false" customHeight="true" outlineLevel="0" collapsed="false">
      <c r="B107" s="10" t="s">
        <v>164</v>
      </c>
      <c r="C107" s="10"/>
      <c r="D107" s="10"/>
      <c r="E107" s="10"/>
      <c r="F107" s="10"/>
    </row>
    <row r="109" customFormat="false" ht="19.5" hidden="false" customHeight="true" outlineLevel="0" collapsed="false">
      <c r="B109" s="9" t="s">
        <v>165</v>
      </c>
      <c r="C109" s="9"/>
      <c r="D109" s="9"/>
      <c r="E109" s="9"/>
      <c r="F109" s="9"/>
    </row>
    <row r="110" customFormat="false" ht="15" hidden="false" customHeight="true" outlineLevel="0" collapsed="false">
      <c r="B110" s="11" t="s">
        <v>166</v>
      </c>
      <c r="C110" s="11" t="s">
        <v>167</v>
      </c>
      <c r="D110" s="11"/>
      <c r="E110" s="11"/>
      <c r="F110" s="11" t="s">
        <v>168</v>
      </c>
    </row>
    <row r="111" customFormat="false" ht="30" hidden="false" customHeight="true" outlineLevel="0" collapsed="false">
      <c r="B111" s="12" t="s">
        <v>169</v>
      </c>
      <c r="C111" s="12" t="s">
        <v>170</v>
      </c>
      <c r="D111" s="12"/>
      <c r="E111" s="12"/>
      <c r="F111" s="12" t="s">
        <v>171</v>
      </c>
    </row>
    <row r="112" customFormat="false" ht="30" hidden="false" customHeight="true" outlineLevel="0" collapsed="false">
      <c r="B112" s="12" t="s">
        <v>172</v>
      </c>
      <c r="C112" s="12" t="s">
        <v>173</v>
      </c>
      <c r="D112" s="12"/>
      <c r="E112" s="12"/>
      <c r="F112" s="12" t="s">
        <v>174</v>
      </c>
    </row>
    <row r="113" customFormat="false" ht="30" hidden="false" customHeight="true" outlineLevel="0" collapsed="false">
      <c r="B113" s="12" t="s">
        <v>175</v>
      </c>
      <c r="C113" s="12" t="s">
        <v>176</v>
      </c>
      <c r="D113" s="12"/>
      <c r="E113" s="12"/>
      <c r="F113" s="12" t="s">
        <v>177</v>
      </c>
    </row>
    <row r="114" customFormat="false" ht="30" hidden="false" customHeight="true" outlineLevel="0" collapsed="false">
      <c r="B114" s="12" t="s">
        <v>178</v>
      </c>
      <c r="C114" s="12" t="s">
        <v>179</v>
      </c>
      <c r="D114" s="12"/>
      <c r="E114" s="12"/>
      <c r="F114" s="12" t="s">
        <v>124</v>
      </c>
    </row>
    <row r="116" customFormat="false" ht="15" hidden="false" customHeight="false" outlineLevel="0" collapsed="false">
      <c r="B116" s="8" t="s">
        <v>180</v>
      </c>
      <c r="C116" s="8"/>
      <c r="D116" s="8"/>
      <c r="E116" s="8"/>
      <c r="F116" s="8"/>
    </row>
  </sheetData>
  <mergeCells count="100">
    <mergeCell ref="B1:F1"/>
    <mergeCell ref="B2:F2"/>
    <mergeCell ref="B3:F3"/>
    <mergeCell ref="B5:F5"/>
    <mergeCell ref="B6:F6"/>
    <mergeCell ref="B7:F7"/>
    <mergeCell ref="B9:F9"/>
    <mergeCell ref="B10:F10"/>
    <mergeCell ref="B11:F11"/>
    <mergeCell ref="B12:F12"/>
    <mergeCell ref="B13:F13"/>
    <mergeCell ref="B14:F14"/>
    <mergeCell ref="B16:F16"/>
    <mergeCell ref="B17:F17"/>
    <mergeCell ref="B18:F18"/>
    <mergeCell ref="B19:F19"/>
    <mergeCell ref="B20:F20"/>
    <mergeCell ref="B22:F22"/>
    <mergeCell ref="B23:F23"/>
    <mergeCell ref="B24:F24"/>
    <mergeCell ref="B25:F25"/>
    <mergeCell ref="B26:F26"/>
    <mergeCell ref="B27:F27"/>
    <mergeCell ref="B29:F29"/>
    <mergeCell ref="B30:F30"/>
    <mergeCell ref="C31:E31"/>
    <mergeCell ref="C32:E32"/>
    <mergeCell ref="C33:E33"/>
    <mergeCell ref="C34:E34"/>
    <mergeCell ref="C35:E35"/>
    <mergeCell ref="C36:E36"/>
    <mergeCell ref="C37:E37"/>
    <mergeCell ref="C38:E38"/>
    <mergeCell ref="B40:F40"/>
    <mergeCell ref="B41:F41"/>
    <mergeCell ref="B42:F42"/>
    <mergeCell ref="B43:F43"/>
    <mergeCell ref="B44:F44"/>
    <mergeCell ref="B45:F45"/>
    <mergeCell ref="B46:F46"/>
    <mergeCell ref="B47:F47"/>
    <mergeCell ref="B48:F48"/>
    <mergeCell ref="B50:F50"/>
    <mergeCell ref="B51:F51"/>
    <mergeCell ref="C52:E52"/>
    <mergeCell ref="C53:E53"/>
    <mergeCell ref="C54:E54"/>
    <mergeCell ref="C55:E55"/>
    <mergeCell ref="B57:F57"/>
    <mergeCell ref="C58:E58"/>
    <mergeCell ref="C59:E59"/>
    <mergeCell ref="C60:E60"/>
    <mergeCell ref="C61:E61"/>
    <mergeCell ref="C62:E62"/>
    <mergeCell ref="C63:E63"/>
    <mergeCell ref="C64:E64"/>
    <mergeCell ref="C65:E65"/>
    <mergeCell ref="B67:F67"/>
    <mergeCell ref="B68:F68"/>
    <mergeCell ref="B69:F69"/>
    <mergeCell ref="B70:F70"/>
    <mergeCell ref="B71:F71"/>
    <mergeCell ref="B73:F73"/>
    <mergeCell ref="B74:F74"/>
    <mergeCell ref="B75:F75"/>
    <mergeCell ref="B76:F76"/>
    <mergeCell ref="B77:F77"/>
    <mergeCell ref="B79:F79"/>
    <mergeCell ref="B80:F80"/>
    <mergeCell ref="C81:E81"/>
    <mergeCell ref="C82:E82"/>
    <mergeCell ref="C83:E83"/>
    <mergeCell ref="C84:E84"/>
    <mergeCell ref="C85:E85"/>
    <mergeCell ref="C86:E86"/>
    <mergeCell ref="C87:E87"/>
    <mergeCell ref="C88:E88"/>
    <mergeCell ref="C89:E89"/>
    <mergeCell ref="B91:F91"/>
    <mergeCell ref="C92:E92"/>
    <mergeCell ref="C93:E93"/>
    <mergeCell ref="C94:E94"/>
    <mergeCell ref="C95:E95"/>
    <mergeCell ref="C96:E96"/>
    <mergeCell ref="C97:E97"/>
    <mergeCell ref="B99:F99"/>
    <mergeCell ref="B101:F101"/>
    <mergeCell ref="B102:F102"/>
    <mergeCell ref="B103:F103"/>
    <mergeCell ref="B104:F104"/>
    <mergeCell ref="B105:F105"/>
    <mergeCell ref="B106:F106"/>
    <mergeCell ref="B107:F107"/>
    <mergeCell ref="B109:F109"/>
    <mergeCell ref="C110:E110"/>
    <mergeCell ref="C111:E111"/>
    <mergeCell ref="C112:E112"/>
    <mergeCell ref="C113:E113"/>
    <mergeCell ref="C114:E114"/>
    <mergeCell ref="B116:F1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6" min="2" style="0" width="13"/>
  </cols>
  <sheetData>
    <row r="1" customFormat="false" ht="17.35" hidden="false" customHeight="false" outlineLevel="0" collapsed="false">
      <c r="A1" s="14" t="s">
        <v>181</v>
      </c>
    </row>
    <row r="2" customFormat="false" ht="15" hidden="false" customHeight="false" outlineLevel="0" collapsed="false">
      <c r="A2" s="2" t="s">
        <v>182</v>
      </c>
    </row>
    <row r="3" customFormat="false" ht="15" hidden="false" customHeight="false" outlineLevel="0" collapsed="false">
      <c r="A3" s="15" t="str">
        <f aca="false">"Review period: "&amp;TEXT(Merit_Scorecard!B3,"yyyy-mm-dd")&amp;" to "&amp;TEXT(Merit_Scorecard!B4,"yyyy-mm-dd")</f>
        <v>Review period: 2026-01-01 to 2026-12-31</v>
      </c>
    </row>
    <row r="5" customFormat="false" ht="15" hidden="false" customHeight="true" outlineLevel="0" collapsed="false">
      <c r="A5" s="16" t="s">
        <v>183</v>
      </c>
      <c r="B5" s="16"/>
      <c r="C5" s="16" t="s">
        <v>184</v>
      </c>
      <c r="D5" s="16"/>
      <c r="E5" s="16" t="s">
        <v>185</v>
      </c>
      <c r="F5" s="16"/>
      <c r="G5" s="16" t="s">
        <v>186</v>
      </c>
      <c r="H5" s="16"/>
      <c r="I5" s="16" t="s">
        <v>187</v>
      </c>
      <c r="J5" s="16"/>
      <c r="K5" s="16" t="s">
        <v>188</v>
      </c>
      <c r="L5" s="16"/>
      <c r="M5" s="16" t="s">
        <v>189</v>
      </c>
      <c r="N5" s="16"/>
      <c r="O5" s="16" t="s">
        <v>190</v>
      </c>
      <c r="P5" s="16"/>
    </row>
    <row r="6" customFormat="false" ht="33.75" hidden="false" customHeight="true" outlineLevel="0" collapsed="false">
      <c r="A6" s="17" t="n">
        <f aca="false">COUNTIFS(Employee_Master!$H$5:$H$104,"Active")</f>
        <v>10</v>
      </c>
      <c r="B6" s="17"/>
      <c r="C6" s="17" t="n">
        <f aca="false">SUM(Merit_Scorecard!$D$7:$D$106)</f>
        <v>9</v>
      </c>
      <c r="D6" s="17"/>
      <c r="E6" s="17" t="n">
        <f aca="false">SUM(Merit_Scorecard!$E$7:$E$106)</f>
        <v>1</v>
      </c>
      <c r="F6" s="17"/>
      <c r="G6" s="18" t="n">
        <f aca="false">SUM(Merit_Scorecard!$H$7:$H$106)</f>
        <v>82000</v>
      </c>
      <c r="H6" s="18"/>
      <c r="I6" s="17" t="n">
        <f aca="false">SUM(Merit_Scorecard!$J$7:$J$106)</f>
        <v>120</v>
      </c>
      <c r="J6" s="17"/>
      <c r="K6" s="17" t="n">
        <f aca="false">SUM(Merit_Scorecard!$K$7:$K$106)</f>
        <v>50</v>
      </c>
      <c r="L6" s="17"/>
      <c r="M6" s="17" t="n">
        <f aca="false">COUNTIFS(Recognition_Log!$H$5:$H$304,"Yes",Recognition_Log!$N$5:$N$304,"Approved",Recognition_Log!$O$5:$O$304,"&gt;="&amp;Merit_Scorecard!$B$3,Recognition_Log!$O$5:$O$304,"&lt;="&amp;Merit_Scorecard!$B$4)</f>
        <v>3</v>
      </c>
      <c r="N6" s="17"/>
      <c r="O6" s="17" t="n">
        <f aca="false">COUNTIFS(Corrective_Action_Log!$S$5:$S$304,"Open")</f>
        <v>1</v>
      </c>
      <c r="P6" s="17"/>
    </row>
    <row r="8" customFormat="false" ht="15" hidden="false" customHeight="false" outlineLevel="0" collapsed="false">
      <c r="A8" s="19" t="s">
        <v>191</v>
      </c>
    </row>
    <row r="9" customFormat="false" ht="30" hidden="false" customHeight="true" outlineLevel="0" collapsed="false">
      <c r="A9" s="11" t="s">
        <v>192</v>
      </c>
      <c r="B9" s="11" t="s">
        <v>193</v>
      </c>
      <c r="C9" s="11" t="s">
        <v>194</v>
      </c>
      <c r="D9" s="11" t="s">
        <v>195</v>
      </c>
      <c r="E9" s="11" t="s">
        <v>196</v>
      </c>
      <c r="F9" s="11" t="s">
        <v>197</v>
      </c>
      <c r="G9" s="11" t="s">
        <v>198</v>
      </c>
      <c r="H9" s="11" t="s">
        <v>199</v>
      </c>
      <c r="I9" s="11" t="s">
        <v>200</v>
      </c>
      <c r="J9" s="11" t="s">
        <v>201</v>
      </c>
      <c r="K9" s="11" t="s">
        <v>202</v>
      </c>
      <c r="L9" s="11" t="s">
        <v>83</v>
      </c>
      <c r="M9" s="11" t="s">
        <v>101</v>
      </c>
      <c r="N9" s="11" t="s">
        <v>203</v>
      </c>
    </row>
    <row r="10" customFormat="false" ht="15" hidden="false" customHeight="false" outlineLevel="0" collapsed="false">
      <c r="A10" s="20" t="str">
        <f aca="false">IF(Reference_Data!A5="","",Reference_Data!A5)</f>
        <v>Design</v>
      </c>
      <c r="B10" s="21" t="n">
        <f aca="false">IF($A10="","",COUNTIFS(Employee_Master!$C$5:$C$104,$A10,Employee_Master!$H$5:$H$104,"Active"))</f>
        <v>3</v>
      </c>
      <c r="C10" s="21" t="n">
        <f aca="false">IF($A10="","",SUMIFS(Merit_Scorecard!$D$7:$D$106,Merit_Scorecard!$C$7:$C$106,$A10))</f>
        <v>4</v>
      </c>
      <c r="D10" s="21" t="n">
        <f aca="false">IF($A10="","",SUMIFS(Merit_Scorecard!$E$7:$E$106,Merit_Scorecard!$C$7:$C$106,$A10))</f>
        <v>1</v>
      </c>
      <c r="E10" s="21" t="n">
        <f aca="false">IF($A10="","",SUMIFS(Merit_Scorecard!$F$7:$F$106,Merit_Scorecard!$C$7:$C$106,$A10))</f>
        <v>3</v>
      </c>
      <c r="F10" s="21" t="n">
        <f aca="false">IF($A10="","",SUMIFS(Merit_Scorecard!$G$7:$G$106,Merit_Scorecard!$C$7:$C$106,$A10))</f>
        <v>1</v>
      </c>
      <c r="G10" s="22" t="n">
        <f aca="false">IF($A10="","",SUMIFS(Merit_Scorecard!$H$7:$H$106,Merit_Scorecard!$C$7:$C$106,$A10))</f>
        <v>60500</v>
      </c>
      <c r="H10" s="21" t="n">
        <f aca="false">IF($A10="","",SUMIFS(Merit_Scorecard!$I$7:$I$106,Merit_Scorecard!$C$7:$C$106,$A10))</f>
        <v>3</v>
      </c>
      <c r="I10" s="21" t="n">
        <f aca="false">IF($A10="","",COUNTIFS(Recognition_Log!$E$5:$E$304,$A10,Recognition_Log!$H$5:$H$304,"Yes",Recognition_Log!$N$5:$N$304,"Approved",Recognition_Log!$O$5:$O$304,"&gt;="&amp;Merit_Scorecard!$B$3,Recognition_Log!$O$5:$O$304,"&lt;="&amp;Merit_Scorecard!$B$4))</f>
        <v>1</v>
      </c>
      <c r="J10" s="21" t="n">
        <f aca="false">IF($A10="","",COUNTIFS(Recognition_Log!$G$5:$G$304,$A10,Recognition_Log!$H$5:$H$304,"Yes",Recognition_Log!$N$5:$N$304,"Approved",Recognition_Log!$O$5:$O$304,"&gt;="&amp;Merit_Scorecard!$B$3,Recognition_Log!$O$5:$O$304,"&lt;="&amp;Merit_Scorecard!$B$4))</f>
        <v>1</v>
      </c>
      <c r="K10" s="21" t="n">
        <f aca="false">IF($A10="","",COUNTIFS(Corrective_Action_Log!$E$5:$E$304,$A10,Corrective_Action_Log!$N$5:$N$304,"&gt;="&amp;Merit_Scorecard!$B$3,Corrective_Action_Log!$N$5:$N$304,"&lt;="&amp;Merit_Scorecard!$B$4))</f>
        <v>3</v>
      </c>
      <c r="L10" s="21" t="n">
        <f aca="false">IF($A10="","",SUMIFS(Merit_Scorecard!$J$7:$J$106,Merit_Scorecard!$C$7:$C$106,$A10))</f>
        <v>60</v>
      </c>
      <c r="M10" s="21" t="n">
        <f aca="false">IF($A10="","",SUMIFS(Merit_Scorecard!$K$7:$K$106,Merit_Scorecard!$C$7:$C$106,$A10))</f>
        <v>45</v>
      </c>
      <c r="N10" s="23" t="n">
        <f aca="false">IF($A10="","",IFERROR(AVERAGEIF(Merit_Scorecard!$C$7:$C$106,$A10,Merit_Scorecard!$L$7:$L$106),0))</f>
        <v>5</v>
      </c>
    </row>
    <row r="11" customFormat="false" ht="15" hidden="false" customHeight="false" outlineLevel="0" collapsed="false">
      <c r="A11" s="20" t="str">
        <f aca="false">IF(Reference_Data!A6="","",Reference_Data!A6)</f>
        <v>Permitting</v>
      </c>
      <c r="B11" s="21" t="n">
        <f aca="false">IF($A11="","",COUNTIFS(Employee_Master!$C$5:$C$104,$A11,Employee_Master!$H$5:$H$104,"Active"))</f>
        <v>2</v>
      </c>
      <c r="C11" s="21" t="n">
        <f aca="false">IF($A11="","",SUMIFS(Merit_Scorecard!$D$7:$D$106,Merit_Scorecard!$C$7:$C$106,$A11))</f>
        <v>1</v>
      </c>
      <c r="D11" s="21" t="n">
        <f aca="false">IF($A11="","",SUMIFS(Merit_Scorecard!$E$7:$E$106,Merit_Scorecard!$C$7:$C$106,$A11))</f>
        <v>0</v>
      </c>
      <c r="E11" s="21" t="n">
        <f aca="false">IF($A11="","",SUMIFS(Merit_Scorecard!$F$7:$F$106,Merit_Scorecard!$C$7:$C$106,$A11))</f>
        <v>1</v>
      </c>
      <c r="F11" s="21" t="n">
        <f aca="false">IF($A11="","",SUMIFS(Merit_Scorecard!$G$7:$G$106,Merit_Scorecard!$C$7:$C$106,$A11))</f>
        <v>0</v>
      </c>
      <c r="G11" s="22" t="n">
        <f aca="false">IF($A11="","",SUMIFS(Merit_Scorecard!$H$7:$H$106,Merit_Scorecard!$C$7:$C$106,$A11))</f>
        <v>9500</v>
      </c>
      <c r="H11" s="21" t="n">
        <f aca="false">IF($A11="","",SUMIFS(Merit_Scorecard!$I$7:$I$106,Merit_Scorecard!$C$7:$C$106,$A11))</f>
        <v>1</v>
      </c>
      <c r="I11" s="21" t="n">
        <f aca="false">IF($A11="","",COUNTIFS(Recognition_Log!$E$5:$E$304,$A11,Recognition_Log!$H$5:$H$304,"Yes",Recognition_Log!$N$5:$N$304,"Approved",Recognition_Log!$O$5:$O$304,"&gt;="&amp;Merit_Scorecard!$B$3,Recognition_Log!$O$5:$O$304,"&lt;="&amp;Merit_Scorecard!$B$4))</f>
        <v>0</v>
      </c>
      <c r="J11" s="21" t="n">
        <f aca="false">IF($A11="","",COUNTIFS(Recognition_Log!$G$5:$G$304,$A11,Recognition_Log!$H$5:$H$304,"Yes",Recognition_Log!$N$5:$N$304,"Approved",Recognition_Log!$O$5:$O$304,"&gt;="&amp;Merit_Scorecard!$B$3,Recognition_Log!$O$5:$O$304,"&lt;="&amp;Merit_Scorecard!$B$4))</f>
        <v>1</v>
      </c>
      <c r="K11" s="21" t="n">
        <f aca="false">IF($A11="","",COUNTIFS(Corrective_Action_Log!$E$5:$E$304,$A11,Corrective_Action_Log!$N$5:$N$304,"&gt;="&amp;Merit_Scorecard!$B$3,Corrective_Action_Log!$N$5:$N$304,"&lt;="&amp;Merit_Scorecard!$B$4))</f>
        <v>0</v>
      </c>
      <c r="L11" s="21" t="n">
        <f aca="false">IF($A11="","",SUMIFS(Merit_Scorecard!$J$7:$J$106,Merit_Scorecard!$C$7:$C$106,$A11))</f>
        <v>10</v>
      </c>
      <c r="M11" s="21" t="n">
        <f aca="false">IF($A11="","",SUMIFS(Merit_Scorecard!$K$7:$K$106,Merit_Scorecard!$C$7:$C$106,$A11))</f>
        <v>0</v>
      </c>
      <c r="N11" s="23" t="n">
        <f aca="false">IF($A11="","",IFERROR(AVERAGEIF(Merit_Scorecard!$C$7:$C$106,$A11,Merit_Scorecard!$L$7:$L$106),0))</f>
        <v>5</v>
      </c>
    </row>
    <row r="12" customFormat="false" ht="15" hidden="false" customHeight="false" outlineLevel="0" collapsed="false">
      <c r="A12" s="20" t="str">
        <f aca="false">IF(Reference_Data!A7="","",Reference_Data!A7)</f>
        <v>Interconnection</v>
      </c>
      <c r="B12" s="21" t="n">
        <f aca="false">IF($A12="","",COUNTIFS(Employee_Master!$C$5:$C$104,$A12,Employee_Master!$H$5:$H$104,"Active"))</f>
        <v>2</v>
      </c>
      <c r="C12" s="21" t="n">
        <f aca="false">IF($A12="","",SUMIFS(Merit_Scorecard!$D$7:$D$106,Merit_Scorecard!$C$7:$C$106,$A12))</f>
        <v>2</v>
      </c>
      <c r="D12" s="21" t="n">
        <f aca="false">IF($A12="","",SUMIFS(Merit_Scorecard!$E$7:$E$106,Merit_Scorecard!$C$7:$C$106,$A12))</f>
        <v>0</v>
      </c>
      <c r="E12" s="21" t="n">
        <f aca="false">IF($A12="","",SUMIFS(Merit_Scorecard!$F$7:$F$106,Merit_Scorecard!$C$7:$C$106,$A12))</f>
        <v>1</v>
      </c>
      <c r="F12" s="21" t="n">
        <f aca="false">IF($A12="","",SUMIFS(Merit_Scorecard!$G$7:$G$106,Merit_Scorecard!$C$7:$C$106,$A12))</f>
        <v>0</v>
      </c>
      <c r="G12" s="22" t="n">
        <f aca="false">IF($A12="","",SUMIFS(Merit_Scorecard!$H$7:$H$106,Merit_Scorecard!$C$7:$C$106,$A12))</f>
        <v>2500</v>
      </c>
      <c r="H12" s="21" t="n">
        <f aca="false">IF($A12="","",SUMIFS(Merit_Scorecard!$I$7:$I$106,Merit_Scorecard!$C$7:$C$106,$A12))</f>
        <v>1</v>
      </c>
      <c r="I12" s="21" t="n">
        <f aca="false">IF($A12="","",COUNTIFS(Recognition_Log!$E$5:$E$304,$A12,Recognition_Log!$H$5:$H$304,"Yes",Recognition_Log!$N$5:$N$304,"Approved",Recognition_Log!$O$5:$O$304,"&gt;="&amp;Merit_Scorecard!$B$3,Recognition_Log!$O$5:$O$304,"&lt;="&amp;Merit_Scorecard!$B$4))</f>
        <v>1</v>
      </c>
      <c r="J12" s="21" t="n">
        <f aca="false">IF($A12="","",COUNTIFS(Recognition_Log!$G$5:$G$304,$A12,Recognition_Log!$H$5:$H$304,"Yes",Recognition_Log!$N$5:$N$304,"Approved",Recognition_Log!$O$5:$O$304,"&gt;="&amp;Merit_Scorecard!$B$3,Recognition_Log!$O$5:$O$304,"&lt;="&amp;Merit_Scorecard!$B$4))</f>
        <v>0</v>
      </c>
      <c r="K12" s="21" t="n">
        <f aca="false">IF($A12="","",COUNTIFS(Corrective_Action_Log!$E$5:$E$304,$A12,Corrective_Action_Log!$N$5:$N$304,"&gt;="&amp;Merit_Scorecard!$B$3,Corrective_Action_Log!$N$5:$N$304,"&lt;="&amp;Merit_Scorecard!$B$4))</f>
        <v>1</v>
      </c>
      <c r="L12" s="21" t="n">
        <f aca="false">IF($A12="","",SUMIFS(Merit_Scorecard!$J$7:$J$106,Merit_Scorecard!$C$7:$C$106,$A12))</f>
        <v>15</v>
      </c>
      <c r="M12" s="21" t="n">
        <f aca="false">IF($A12="","",SUMIFS(Merit_Scorecard!$K$7:$K$106,Merit_Scorecard!$C$7:$C$106,$A12))</f>
        <v>0</v>
      </c>
      <c r="N12" s="23" t="n">
        <f aca="false">IF($A12="","",IFERROR(AVERAGEIF(Merit_Scorecard!$C$7:$C$106,$A12,Merit_Scorecard!$L$7:$L$106),0))</f>
        <v>7.5</v>
      </c>
    </row>
    <row r="13" customFormat="false" ht="15" hidden="false" customHeight="false" outlineLevel="0" collapsed="false">
      <c r="A13" s="20" t="str">
        <f aca="false">IF(Reference_Data!A8="","",Reference_Data!A8)</f>
        <v>Quality Assurance</v>
      </c>
      <c r="B13" s="21" t="n">
        <f aca="false">IF($A13="","",COUNTIFS(Employee_Master!$C$5:$C$104,$A13,Employee_Master!$H$5:$H$104,"Active"))</f>
        <v>2</v>
      </c>
      <c r="C13" s="21" t="n">
        <f aca="false">IF($A13="","",SUMIFS(Merit_Scorecard!$D$7:$D$106,Merit_Scorecard!$C$7:$C$106,$A13))</f>
        <v>2</v>
      </c>
      <c r="D13" s="21" t="n">
        <f aca="false">IF($A13="","",SUMIFS(Merit_Scorecard!$E$7:$E$106,Merit_Scorecard!$C$7:$C$106,$A13))</f>
        <v>0</v>
      </c>
      <c r="E13" s="21" t="n">
        <f aca="false">IF($A13="","",SUMIFS(Merit_Scorecard!$F$7:$F$106,Merit_Scorecard!$C$7:$C$106,$A13))</f>
        <v>0</v>
      </c>
      <c r="F13" s="21" t="n">
        <f aca="false">IF($A13="","",SUMIFS(Merit_Scorecard!$G$7:$G$106,Merit_Scorecard!$C$7:$C$106,$A13))</f>
        <v>0</v>
      </c>
      <c r="G13" s="22" t="n">
        <f aca="false">IF($A13="","",SUMIFS(Merit_Scorecard!$H$7:$H$106,Merit_Scorecard!$C$7:$C$106,$A13))</f>
        <v>9500</v>
      </c>
      <c r="H13" s="21" t="n">
        <f aca="false">IF($A13="","",SUMIFS(Merit_Scorecard!$I$7:$I$106,Merit_Scorecard!$C$7:$C$106,$A13))</f>
        <v>2</v>
      </c>
      <c r="I13" s="21" t="n">
        <f aca="false">IF($A13="","",COUNTIFS(Recognition_Log!$E$5:$E$304,$A13,Recognition_Log!$H$5:$H$304,"Yes",Recognition_Log!$N$5:$N$304,"Approved",Recognition_Log!$O$5:$O$304,"&gt;="&amp;Merit_Scorecard!$B$3,Recognition_Log!$O$5:$O$304,"&lt;="&amp;Merit_Scorecard!$B$4))</f>
        <v>1</v>
      </c>
      <c r="J13" s="21" t="n">
        <f aca="false">IF($A13="","",COUNTIFS(Recognition_Log!$G$5:$G$304,$A13,Recognition_Log!$H$5:$H$304,"Yes",Recognition_Log!$N$5:$N$304,"Approved",Recognition_Log!$O$5:$O$304,"&gt;="&amp;Merit_Scorecard!$B$3,Recognition_Log!$O$5:$O$304,"&lt;="&amp;Merit_Scorecard!$B$4))</f>
        <v>1</v>
      </c>
      <c r="K13" s="21" t="n">
        <f aca="false">IF($A13="","",COUNTIFS(Corrective_Action_Log!$E$5:$E$304,$A13,Corrective_Action_Log!$N$5:$N$304,"&gt;="&amp;Merit_Scorecard!$B$3,Corrective_Action_Log!$N$5:$N$304,"&lt;="&amp;Merit_Scorecard!$B$4))</f>
        <v>0</v>
      </c>
      <c r="L13" s="21" t="n">
        <f aca="false">IF($A13="","",SUMIFS(Merit_Scorecard!$J$7:$J$106,Merit_Scorecard!$C$7:$C$106,$A13))</f>
        <v>35</v>
      </c>
      <c r="M13" s="21" t="n">
        <f aca="false">IF($A13="","",SUMIFS(Merit_Scorecard!$K$7:$K$106,Merit_Scorecard!$C$7:$C$106,$A13))</f>
        <v>0</v>
      </c>
      <c r="N13" s="23" t="n">
        <f aca="false">IF($A13="","",IFERROR(AVERAGEIF(Merit_Scorecard!$C$7:$C$106,$A13,Merit_Scorecard!$L$7:$L$106),0))</f>
        <v>17.5</v>
      </c>
    </row>
    <row r="14" customFormat="false" ht="15" hidden="false" customHeight="false" outlineLevel="0" collapsed="false">
      <c r="A14" s="20" t="str">
        <f aca="false">IF(Reference_Data!A9="","",Reference_Data!A9)</f>
        <v>Project Management</v>
      </c>
      <c r="B14" s="21" t="n">
        <f aca="false">IF($A14="","",COUNTIFS(Employee_Master!$C$5:$C$104,$A14,Employee_Master!$H$5:$H$104,"Active"))</f>
        <v>1</v>
      </c>
      <c r="C14" s="21" t="n">
        <f aca="false">IF($A14="","",SUMIFS(Merit_Scorecard!$D$7:$D$106,Merit_Scorecard!$C$7:$C$106,$A14))</f>
        <v>0</v>
      </c>
      <c r="D14" s="21" t="n">
        <f aca="false">IF($A14="","",SUMIFS(Merit_Scorecard!$E$7:$E$106,Merit_Scorecard!$C$7:$C$106,$A14))</f>
        <v>0</v>
      </c>
      <c r="E14" s="21" t="n">
        <f aca="false">IF($A14="","",SUMIFS(Merit_Scorecard!$F$7:$F$106,Merit_Scorecard!$C$7:$C$106,$A14))</f>
        <v>0</v>
      </c>
      <c r="F14" s="21" t="n">
        <f aca="false">IF($A14="","",SUMIFS(Merit_Scorecard!$G$7:$G$106,Merit_Scorecard!$C$7:$C$106,$A14))</f>
        <v>0</v>
      </c>
      <c r="G14" s="22" t="n">
        <f aca="false">IF($A14="","",SUMIFS(Merit_Scorecard!$H$7:$H$106,Merit_Scorecard!$C$7:$C$106,$A14))</f>
        <v>0</v>
      </c>
      <c r="H14" s="21" t="n">
        <f aca="false">IF($A14="","",SUMIFS(Merit_Scorecard!$I$7:$I$106,Merit_Scorecard!$C$7:$C$106,$A14))</f>
        <v>0</v>
      </c>
      <c r="I14" s="21" t="n">
        <f aca="false">IF($A14="","",COUNTIFS(Recognition_Log!$E$5:$E$304,$A14,Recognition_Log!$H$5:$H$304,"Yes",Recognition_Log!$N$5:$N$304,"Approved",Recognition_Log!$O$5:$O$304,"&gt;="&amp;Merit_Scorecard!$B$3,Recognition_Log!$O$5:$O$304,"&lt;="&amp;Merit_Scorecard!$B$4))</f>
        <v>0</v>
      </c>
      <c r="J14" s="21" t="n">
        <f aca="false">IF($A14="","",COUNTIFS(Recognition_Log!$G$5:$G$304,$A14,Recognition_Log!$H$5:$H$304,"Yes",Recognition_Log!$N$5:$N$304,"Approved",Recognition_Log!$O$5:$O$304,"&gt;="&amp;Merit_Scorecard!$B$3,Recognition_Log!$O$5:$O$304,"&lt;="&amp;Merit_Scorecard!$B$4))</f>
        <v>0</v>
      </c>
      <c r="K14" s="21" t="n">
        <f aca="false">IF($A14="","",COUNTIFS(Corrective_Action_Log!$E$5:$E$304,$A14,Corrective_Action_Log!$N$5:$N$304,"&gt;="&amp;Merit_Scorecard!$B$3,Corrective_Action_Log!$N$5:$N$304,"&lt;="&amp;Merit_Scorecard!$B$4))</f>
        <v>1</v>
      </c>
      <c r="L14" s="21" t="n">
        <f aca="false">IF($A14="","",SUMIFS(Merit_Scorecard!$J$7:$J$106,Merit_Scorecard!$C$7:$C$106,$A14))</f>
        <v>0</v>
      </c>
      <c r="M14" s="21" t="n">
        <f aca="false">IF($A14="","",SUMIFS(Merit_Scorecard!$K$7:$K$106,Merit_Scorecard!$C$7:$C$106,$A14))</f>
        <v>5</v>
      </c>
      <c r="N14" s="23" t="n">
        <f aca="false">IF($A14="","",IFERROR(AVERAGEIF(Merit_Scorecard!$C$7:$C$106,$A14,Merit_Scorecard!$L$7:$L$106),0))</f>
        <v>-5</v>
      </c>
    </row>
    <row r="15" customFormat="false" ht="15" hidden="false" customHeight="false" outlineLevel="0" collapsed="false">
      <c r="A15" s="20" t="str">
        <f aca="false">IF(Reference_Data!A10="","",Reference_Data!A10)</f>
        <v>Customer Care</v>
      </c>
      <c r="B15" s="21" t="n">
        <f aca="false">IF($A15="","",COUNTIFS(Employee_Master!$C$5:$C$104,$A15,Employee_Master!$H$5:$H$104,"Active"))</f>
        <v>0</v>
      </c>
      <c r="C15" s="21" t="n">
        <f aca="false">IF($A15="","",SUMIFS(Merit_Scorecard!$D$7:$D$106,Merit_Scorecard!$C$7:$C$106,$A15))</f>
        <v>0</v>
      </c>
      <c r="D15" s="21" t="n">
        <f aca="false">IF($A15="","",SUMIFS(Merit_Scorecard!$E$7:$E$106,Merit_Scorecard!$C$7:$C$106,$A15))</f>
        <v>0</v>
      </c>
      <c r="E15" s="21" t="n">
        <f aca="false">IF($A15="","",SUMIFS(Merit_Scorecard!$F$7:$F$106,Merit_Scorecard!$C$7:$C$106,$A15))</f>
        <v>0</v>
      </c>
      <c r="F15" s="21" t="n">
        <f aca="false">IF($A15="","",SUMIFS(Merit_Scorecard!$G$7:$G$106,Merit_Scorecard!$C$7:$C$106,$A15))</f>
        <v>0</v>
      </c>
      <c r="G15" s="22" t="n">
        <f aca="false">IF($A15="","",SUMIFS(Merit_Scorecard!$H$7:$H$106,Merit_Scorecard!$C$7:$C$106,$A15))</f>
        <v>0</v>
      </c>
      <c r="H15" s="21" t="n">
        <f aca="false">IF($A15="","",SUMIFS(Merit_Scorecard!$I$7:$I$106,Merit_Scorecard!$C$7:$C$106,$A15))</f>
        <v>0</v>
      </c>
      <c r="I15" s="21" t="n">
        <f aca="false">IF($A15="","",COUNTIFS(Recognition_Log!$E$5:$E$304,$A15,Recognition_Log!$H$5:$H$304,"Yes",Recognition_Log!$N$5:$N$304,"Approved",Recognition_Log!$O$5:$O$304,"&gt;="&amp;Merit_Scorecard!$B$3,Recognition_Log!$O$5:$O$304,"&lt;="&amp;Merit_Scorecard!$B$4))</f>
        <v>0</v>
      </c>
      <c r="J15" s="21" t="n">
        <f aca="false">IF($A15="","",COUNTIFS(Recognition_Log!$G$5:$G$304,$A15,Recognition_Log!$H$5:$H$304,"Yes",Recognition_Log!$N$5:$N$304,"Approved",Recognition_Log!$O$5:$O$304,"&gt;="&amp;Merit_Scorecard!$B$3,Recognition_Log!$O$5:$O$304,"&lt;="&amp;Merit_Scorecard!$B$4))</f>
        <v>0</v>
      </c>
      <c r="K15" s="21" t="n">
        <f aca="false">IF($A15="","",COUNTIFS(Corrective_Action_Log!$E$5:$E$304,$A15,Corrective_Action_Log!$N$5:$N$304,"&gt;="&amp;Merit_Scorecard!$B$3,Corrective_Action_Log!$N$5:$N$304,"&lt;="&amp;Merit_Scorecard!$B$4))</f>
        <v>0</v>
      </c>
      <c r="L15" s="21" t="n">
        <f aca="false">IF($A15="","",SUMIFS(Merit_Scorecard!$J$7:$J$106,Merit_Scorecard!$C$7:$C$106,$A15))</f>
        <v>0</v>
      </c>
      <c r="M15" s="21" t="n">
        <f aca="false">IF($A15="","",SUMIFS(Merit_Scorecard!$K$7:$K$106,Merit_Scorecard!$C$7:$C$106,$A15))</f>
        <v>0</v>
      </c>
      <c r="N15" s="23" t="n">
        <f aca="false">IF($A15="","",IFERROR(AVERAGEIF(Merit_Scorecard!$C$7:$C$106,$A15,Merit_Scorecard!$L$7:$L$106),0))</f>
        <v>0</v>
      </c>
    </row>
    <row r="16" customFormat="false" ht="15" hidden="false" customHeight="false" outlineLevel="0" collapsed="false">
      <c r="A16" s="20" t="str">
        <f aca="false">IF(Reference_Data!A11="","",Reference_Data!A11)</f>
        <v/>
      </c>
      <c r="B16" s="21" t="str">
        <f aca="false">IF($A16="","",COUNTIFS(Employee_Master!$C$5:$C$104,$A16,Employee_Master!$H$5:$H$104,"Active"))</f>
        <v/>
      </c>
      <c r="C16" s="21" t="str">
        <f aca="false">IF($A16="","",SUMIFS(Merit_Scorecard!$D$7:$D$106,Merit_Scorecard!$C$7:$C$106,$A16))</f>
        <v/>
      </c>
      <c r="D16" s="21" t="str">
        <f aca="false">IF($A16="","",SUMIFS(Merit_Scorecard!$E$7:$E$106,Merit_Scorecard!$C$7:$C$106,$A16))</f>
        <v/>
      </c>
      <c r="E16" s="21" t="str">
        <f aca="false">IF($A16="","",SUMIFS(Merit_Scorecard!$F$7:$F$106,Merit_Scorecard!$C$7:$C$106,$A16))</f>
        <v/>
      </c>
      <c r="F16" s="21" t="str">
        <f aca="false">IF($A16="","",SUMIFS(Merit_Scorecard!$G$7:$G$106,Merit_Scorecard!$C$7:$C$106,$A16))</f>
        <v/>
      </c>
      <c r="G16" s="22" t="str">
        <f aca="false">IF($A16="","",SUMIFS(Merit_Scorecard!$H$7:$H$106,Merit_Scorecard!$C$7:$C$106,$A16))</f>
        <v/>
      </c>
      <c r="H16" s="21" t="str">
        <f aca="false">IF($A16="","",SUMIFS(Merit_Scorecard!$I$7:$I$106,Merit_Scorecard!$C$7:$C$106,$A16))</f>
        <v/>
      </c>
      <c r="I16" s="21" t="str">
        <f aca="false">IF($A16="","",COUNTIFS(Recognition_Log!$E$5:$E$304,$A16,Recognition_Log!$H$5:$H$304,"Yes",Recognition_Log!$N$5:$N$304,"Approved",Recognition_Log!$O$5:$O$304,"&gt;="&amp;Merit_Scorecard!$B$3,Recognition_Log!$O$5:$O$304,"&lt;="&amp;Merit_Scorecard!$B$4))</f>
        <v/>
      </c>
      <c r="J16" s="21" t="str">
        <f aca="false">IF($A16="","",COUNTIFS(Recognition_Log!$G$5:$G$304,$A16,Recognition_Log!$H$5:$H$304,"Yes",Recognition_Log!$N$5:$N$304,"Approved",Recognition_Log!$O$5:$O$304,"&gt;="&amp;Merit_Scorecard!$B$3,Recognition_Log!$O$5:$O$304,"&lt;="&amp;Merit_Scorecard!$B$4))</f>
        <v/>
      </c>
      <c r="K16" s="21" t="str">
        <f aca="false">IF($A16="","",COUNTIFS(Corrective_Action_Log!$E$5:$E$304,$A16,Corrective_Action_Log!$N$5:$N$304,"&gt;="&amp;Merit_Scorecard!$B$3,Corrective_Action_Log!$N$5:$N$304,"&lt;="&amp;Merit_Scorecard!$B$4))</f>
        <v/>
      </c>
      <c r="L16" s="21" t="str">
        <f aca="false">IF($A16="","",SUMIFS(Merit_Scorecard!$J$7:$J$106,Merit_Scorecard!$C$7:$C$106,$A16))</f>
        <v/>
      </c>
      <c r="M16" s="21" t="str">
        <f aca="false">IF($A16="","",SUMIFS(Merit_Scorecard!$K$7:$K$106,Merit_Scorecard!$C$7:$C$106,$A16))</f>
        <v/>
      </c>
      <c r="N16" s="23" t="str">
        <f aca="false">IF($A16="","",IFERROR(AVERAGEIF(Merit_Scorecard!$C$7:$C$106,$A16,Merit_Scorecard!$L$7:$L$106),0))</f>
        <v/>
      </c>
    </row>
    <row r="17" customFormat="false" ht="15" hidden="false" customHeight="false" outlineLevel="0" collapsed="false">
      <c r="A17" s="20" t="str">
        <f aca="false">IF(Reference_Data!A12="","",Reference_Data!A12)</f>
        <v/>
      </c>
      <c r="B17" s="21" t="str">
        <f aca="false">IF($A17="","",COUNTIFS(Employee_Master!$C$5:$C$104,$A17,Employee_Master!$H$5:$H$104,"Active"))</f>
        <v/>
      </c>
      <c r="C17" s="21" t="str">
        <f aca="false">IF($A17="","",SUMIFS(Merit_Scorecard!$D$7:$D$106,Merit_Scorecard!$C$7:$C$106,$A17))</f>
        <v/>
      </c>
      <c r="D17" s="21" t="str">
        <f aca="false">IF($A17="","",SUMIFS(Merit_Scorecard!$E$7:$E$106,Merit_Scorecard!$C$7:$C$106,$A17))</f>
        <v/>
      </c>
      <c r="E17" s="21" t="str">
        <f aca="false">IF($A17="","",SUMIFS(Merit_Scorecard!$F$7:$F$106,Merit_Scorecard!$C$7:$C$106,$A17))</f>
        <v/>
      </c>
      <c r="F17" s="21" t="str">
        <f aca="false">IF($A17="","",SUMIFS(Merit_Scorecard!$G$7:$G$106,Merit_Scorecard!$C$7:$C$106,$A17))</f>
        <v/>
      </c>
      <c r="G17" s="22" t="str">
        <f aca="false">IF($A17="","",SUMIFS(Merit_Scorecard!$H$7:$H$106,Merit_Scorecard!$C$7:$C$106,$A17))</f>
        <v/>
      </c>
      <c r="H17" s="21" t="str">
        <f aca="false">IF($A17="","",SUMIFS(Merit_Scorecard!$I$7:$I$106,Merit_Scorecard!$C$7:$C$106,$A17))</f>
        <v/>
      </c>
      <c r="I17" s="21" t="str">
        <f aca="false">IF($A17="","",COUNTIFS(Recognition_Log!$E$5:$E$304,$A17,Recognition_Log!$H$5:$H$304,"Yes",Recognition_Log!$N$5:$N$304,"Approved",Recognition_Log!$O$5:$O$304,"&gt;="&amp;Merit_Scorecard!$B$3,Recognition_Log!$O$5:$O$304,"&lt;="&amp;Merit_Scorecard!$B$4))</f>
        <v/>
      </c>
      <c r="J17" s="21" t="str">
        <f aca="false">IF($A17="","",COUNTIFS(Recognition_Log!$G$5:$G$304,$A17,Recognition_Log!$H$5:$H$304,"Yes",Recognition_Log!$N$5:$N$304,"Approved",Recognition_Log!$O$5:$O$304,"&gt;="&amp;Merit_Scorecard!$B$3,Recognition_Log!$O$5:$O$304,"&lt;="&amp;Merit_Scorecard!$B$4))</f>
        <v/>
      </c>
      <c r="K17" s="21" t="str">
        <f aca="false">IF($A17="","",COUNTIFS(Corrective_Action_Log!$E$5:$E$304,$A17,Corrective_Action_Log!$N$5:$N$304,"&gt;="&amp;Merit_Scorecard!$B$3,Corrective_Action_Log!$N$5:$N$304,"&lt;="&amp;Merit_Scorecard!$B$4))</f>
        <v/>
      </c>
      <c r="L17" s="21" t="str">
        <f aca="false">IF($A17="","",SUMIFS(Merit_Scorecard!$J$7:$J$106,Merit_Scorecard!$C$7:$C$106,$A17))</f>
        <v/>
      </c>
      <c r="M17" s="21" t="str">
        <f aca="false">IF($A17="","",SUMIFS(Merit_Scorecard!$K$7:$K$106,Merit_Scorecard!$C$7:$C$106,$A17))</f>
        <v/>
      </c>
      <c r="N17" s="23" t="str">
        <f aca="false">IF($A17="","",IFERROR(AVERAGEIF(Merit_Scorecard!$C$7:$C$106,$A17,Merit_Scorecard!$L$7:$L$106),0))</f>
        <v/>
      </c>
    </row>
    <row r="18" customFormat="false" ht="15" hidden="false" customHeight="false" outlineLevel="0" collapsed="false">
      <c r="A18" s="20" t="str">
        <f aca="false">IF(Reference_Data!A13="","",Reference_Data!A13)</f>
        <v/>
      </c>
      <c r="B18" s="21" t="str">
        <f aca="false">IF($A18="","",COUNTIFS(Employee_Master!$C$5:$C$104,$A18,Employee_Master!$H$5:$H$104,"Active"))</f>
        <v/>
      </c>
      <c r="C18" s="21" t="str">
        <f aca="false">IF($A18="","",SUMIFS(Merit_Scorecard!$D$7:$D$106,Merit_Scorecard!$C$7:$C$106,$A18))</f>
        <v/>
      </c>
      <c r="D18" s="21" t="str">
        <f aca="false">IF($A18="","",SUMIFS(Merit_Scorecard!$E$7:$E$106,Merit_Scorecard!$C$7:$C$106,$A18))</f>
        <v/>
      </c>
      <c r="E18" s="21" t="str">
        <f aca="false">IF($A18="","",SUMIFS(Merit_Scorecard!$F$7:$F$106,Merit_Scorecard!$C$7:$C$106,$A18))</f>
        <v/>
      </c>
      <c r="F18" s="21" t="str">
        <f aca="false">IF($A18="","",SUMIFS(Merit_Scorecard!$G$7:$G$106,Merit_Scorecard!$C$7:$C$106,$A18))</f>
        <v/>
      </c>
      <c r="G18" s="22" t="str">
        <f aca="false">IF($A18="","",SUMIFS(Merit_Scorecard!$H$7:$H$106,Merit_Scorecard!$C$7:$C$106,$A18))</f>
        <v/>
      </c>
      <c r="H18" s="21" t="str">
        <f aca="false">IF($A18="","",SUMIFS(Merit_Scorecard!$I$7:$I$106,Merit_Scorecard!$C$7:$C$106,$A18))</f>
        <v/>
      </c>
      <c r="I18" s="21" t="str">
        <f aca="false">IF($A18="","",COUNTIFS(Recognition_Log!$E$5:$E$304,$A18,Recognition_Log!$H$5:$H$304,"Yes",Recognition_Log!$N$5:$N$304,"Approved",Recognition_Log!$O$5:$O$304,"&gt;="&amp;Merit_Scorecard!$B$3,Recognition_Log!$O$5:$O$304,"&lt;="&amp;Merit_Scorecard!$B$4))</f>
        <v/>
      </c>
      <c r="J18" s="21" t="str">
        <f aca="false">IF($A18="","",COUNTIFS(Recognition_Log!$G$5:$G$304,$A18,Recognition_Log!$H$5:$H$304,"Yes",Recognition_Log!$N$5:$N$304,"Approved",Recognition_Log!$O$5:$O$304,"&gt;="&amp;Merit_Scorecard!$B$3,Recognition_Log!$O$5:$O$304,"&lt;="&amp;Merit_Scorecard!$B$4))</f>
        <v/>
      </c>
      <c r="K18" s="21" t="str">
        <f aca="false">IF($A18="","",COUNTIFS(Corrective_Action_Log!$E$5:$E$304,$A18,Corrective_Action_Log!$N$5:$N$304,"&gt;="&amp;Merit_Scorecard!$B$3,Corrective_Action_Log!$N$5:$N$304,"&lt;="&amp;Merit_Scorecard!$B$4))</f>
        <v/>
      </c>
      <c r="L18" s="21" t="str">
        <f aca="false">IF($A18="","",SUMIFS(Merit_Scorecard!$J$7:$J$106,Merit_Scorecard!$C$7:$C$106,$A18))</f>
        <v/>
      </c>
      <c r="M18" s="21" t="str">
        <f aca="false">IF($A18="","",SUMIFS(Merit_Scorecard!$K$7:$K$106,Merit_Scorecard!$C$7:$C$106,$A18))</f>
        <v/>
      </c>
      <c r="N18" s="23" t="str">
        <f aca="false">IF($A18="","",IFERROR(AVERAGEIF(Merit_Scorecard!$C$7:$C$106,$A18,Merit_Scorecard!$L$7:$L$106),0))</f>
        <v/>
      </c>
    </row>
    <row r="19" customFormat="false" ht="15" hidden="false" customHeight="false" outlineLevel="0" collapsed="false">
      <c r="A19" s="20" t="str">
        <f aca="false">IF(Reference_Data!A14="","",Reference_Data!A14)</f>
        <v/>
      </c>
      <c r="B19" s="21" t="str">
        <f aca="false">IF($A19="","",COUNTIFS(Employee_Master!$C$5:$C$104,$A19,Employee_Master!$H$5:$H$104,"Active"))</f>
        <v/>
      </c>
      <c r="C19" s="21" t="str">
        <f aca="false">IF($A19="","",SUMIFS(Merit_Scorecard!$D$7:$D$106,Merit_Scorecard!$C$7:$C$106,$A19))</f>
        <v/>
      </c>
      <c r="D19" s="21" t="str">
        <f aca="false">IF($A19="","",SUMIFS(Merit_Scorecard!$E$7:$E$106,Merit_Scorecard!$C$7:$C$106,$A19))</f>
        <v/>
      </c>
      <c r="E19" s="21" t="str">
        <f aca="false">IF($A19="","",SUMIFS(Merit_Scorecard!$F$7:$F$106,Merit_Scorecard!$C$7:$C$106,$A19))</f>
        <v/>
      </c>
      <c r="F19" s="21" t="str">
        <f aca="false">IF($A19="","",SUMIFS(Merit_Scorecard!$G$7:$G$106,Merit_Scorecard!$C$7:$C$106,$A19))</f>
        <v/>
      </c>
      <c r="G19" s="22" t="str">
        <f aca="false">IF($A19="","",SUMIFS(Merit_Scorecard!$H$7:$H$106,Merit_Scorecard!$C$7:$C$106,$A19))</f>
        <v/>
      </c>
      <c r="H19" s="21" t="str">
        <f aca="false">IF($A19="","",SUMIFS(Merit_Scorecard!$I$7:$I$106,Merit_Scorecard!$C$7:$C$106,$A19))</f>
        <v/>
      </c>
      <c r="I19" s="21" t="str">
        <f aca="false">IF($A19="","",COUNTIFS(Recognition_Log!$E$5:$E$304,$A19,Recognition_Log!$H$5:$H$304,"Yes",Recognition_Log!$N$5:$N$304,"Approved",Recognition_Log!$O$5:$O$304,"&gt;="&amp;Merit_Scorecard!$B$3,Recognition_Log!$O$5:$O$304,"&lt;="&amp;Merit_Scorecard!$B$4))</f>
        <v/>
      </c>
      <c r="J19" s="21" t="str">
        <f aca="false">IF($A19="","",COUNTIFS(Recognition_Log!$G$5:$G$304,$A19,Recognition_Log!$H$5:$H$304,"Yes",Recognition_Log!$N$5:$N$304,"Approved",Recognition_Log!$O$5:$O$304,"&gt;="&amp;Merit_Scorecard!$B$3,Recognition_Log!$O$5:$O$304,"&lt;="&amp;Merit_Scorecard!$B$4))</f>
        <v/>
      </c>
      <c r="K19" s="21" t="str">
        <f aca="false">IF($A19="","",COUNTIFS(Corrective_Action_Log!$E$5:$E$304,$A19,Corrective_Action_Log!$N$5:$N$304,"&gt;="&amp;Merit_Scorecard!$B$3,Corrective_Action_Log!$N$5:$N$304,"&lt;="&amp;Merit_Scorecard!$B$4))</f>
        <v/>
      </c>
      <c r="L19" s="21" t="str">
        <f aca="false">IF($A19="","",SUMIFS(Merit_Scorecard!$J$7:$J$106,Merit_Scorecard!$C$7:$C$106,$A19))</f>
        <v/>
      </c>
      <c r="M19" s="21" t="str">
        <f aca="false">IF($A19="","",SUMIFS(Merit_Scorecard!$K$7:$K$106,Merit_Scorecard!$C$7:$C$106,$A19))</f>
        <v/>
      </c>
      <c r="N19" s="23" t="str">
        <f aca="false">IF($A19="","",IFERROR(AVERAGEIF(Merit_Scorecard!$C$7:$C$106,$A19,Merit_Scorecard!$L$7:$L$106),0))</f>
        <v/>
      </c>
    </row>
    <row r="21" customFormat="false" ht="15" hidden="false" customHeight="false" outlineLevel="0" collapsed="false">
      <c r="A21" s="19" t="s">
        <v>204</v>
      </c>
    </row>
    <row r="22" customFormat="false" ht="15" hidden="false" customHeight="false" outlineLevel="0" collapsed="false">
      <c r="A22" s="11" t="s">
        <v>205</v>
      </c>
      <c r="B22" s="11" t="s">
        <v>206</v>
      </c>
      <c r="C22" s="11" t="s">
        <v>207</v>
      </c>
    </row>
    <row r="23" customFormat="false" ht="15" hidden="false" customHeight="false" outlineLevel="0" collapsed="false">
      <c r="A23" s="24" t="str">
        <f aca="false">Reference_Data!L5</f>
        <v>Prevention</v>
      </c>
      <c r="B23" s="25" t="n">
        <f aca="false">SUMIFS(Qualification_Log!$N$5:$N$304,Qualification_Log!$L$5:$L$304,A23,Qualification_Log!$B$5:$B$304,"&gt;="&amp;Merit_Scorecard!$B$3,Qualification_Log!$B$5:$B$304,"&lt;="&amp;Merit_Scorecard!$B$4)</f>
        <v>8000</v>
      </c>
      <c r="C23" s="26" t="n">
        <f aca="false">IF(SUM($B$23:$B$26)=0,0,B23/SUM($B$23:$B$26))</f>
        <v>0.0975609756097561</v>
      </c>
    </row>
    <row r="24" customFormat="false" ht="15" hidden="false" customHeight="false" outlineLevel="0" collapsed="false">
      <c r="A24" s="24" t="str">
        <f aca="false">Reference_Data!L6</f>
        <v>Appraisal</v>
      </c>
      <c r="B24" s="25" t="n">
        <f aca="false">SUMIFS(Qualification_Log!$N$5:$N$304,Qualification_Log!$L$5:$L$304,A24,Qualification_Log!$B$5:$B$304,"&gt;="&amp;Merit_Scorecard!$B$3,Qualification_Log!$B$5:$B$304,"&lt;="&amp;Merit_Scorecard!$B$4)</f>
        <v>1500</v>
      </c>
      <c r="C24" s="26" t="n">
        <f aca="false">IF(SUM($B$23:$B$26)=0,0,B24/SUM($B$23:$B$26))</f>
        <v>0.0182926829268293</v>
      </c>
    </row>
    <row r="25" customFormat="false" ht="15" hidden="false" customHeight="false" outlineLevel="0" collapsed="false">
      <c r="A25" s="24" t="str">
        <f aca="false">Reference_Data!L7</f>
        <v>Internal Failure</v>
      </c>
      <c r="B25" s="25" t="n">
        <f aca="false">SUMIFS(Qualification_Log!$N$5:$N$304,Qualification_Log!$L$5:$L$304,A25,Qualification_Log!$B$5:$B$304,"&gt;="&amp;Merit_Scorecard!$B$3,Qualification_Log!$B$5:$B$304,"&lt;="&amp;Merit_Scorecard!$B$4)</f>
        <v>6000</v>
      </c>
      <c r="C25" s="26" t="n">
        <f aca="false">IF(SUM($B$23:$B$26)=0,0,B25/SUM($B$23:$B$26))</f>
        <v>0.0731707317073171</v>
      </c>
    </row>
    <row r="26" customFormat="false" ht="15" hidden="false" customHeight="false" outlineLevel="0" collapsed="false">
      <c r="A26" s="24" t="str">
        <f aca="false">Reference_Data!L8</f>
        <v>External Failure</v>
      </c>
      <c r="B26" s="25" t="n">
        <f aca="false">SUMIFS(Qualification_Log!$N$5:$N$304,Qualification_Log!$L$5:$L$304,A26,Qualification_Log!$B$5:$B$304,"&gt;="&amp;Merit_Scorecard!$B$3,Qualification_Log!$B$5:$B$304,"&lt;="&amp;Merit_Scorecard!$B$4)</f>
        <v>66500</v>
      </c>
      <c r="C26" s="26" t="n">
        <f aca="false">IF(SUM($B$23:$B$26)=0,0,B26/SUM($B$23:$B$26))</f>
        <v>0.810975609756098</v>
      </c>
    </row>
    <row r="27" customFormat="false" ht="15" hidden="false" customHeight="false" outlineLevel="0" collapsed="false">
      <c r="A27" s="5" t="s">
        <v>208</v>
      </c>
      <c r="B27" s="27" t="n">
        <f aca="false">SUM(B23:B26)</f>
        <v>82000</v>
      </c>
    </row>
    <row r="28" customFormat="false" ht="15" hidden="false" customHeight="false" outlineLevel="0" collapsed="false">
      <c r="A28" s="28" t="s">
        <v>209</v>
      </c>
      <c r="C28" s="29" t="n">
        <f aca="false">B25+B26</f>
        <v>72500</v>
      </c>
    </row>
  </sheetData>
  <mergeCells count="16">
    <mergeCell ref="A5:B5"/>
    <mergeCell ref="C5:D5"/>
    <mergeCell ref="E5:F5"/>
    <mergeCell ref="G5:H5"/>
    <mergeCell ref="I5:J5"/>
    <mergeCell ref="K5:L5"/>
    <mergeCell ref="M5:N5"/>
    <mergeCell ref="O5:P5"/>
    <mergeCell ref="A6:B6"/>
    <mergeCell ref="C6:D6"/>
    <mergeCell ref="E6:F6"/>
    <mergeCell ref="G6:H6"/>
    <mergeCell ref="I6:J6"/>
    <mergeCell ref="K6:L6"/>
    <mergeCell ref="M6:N6"/>
    <mergeCell ref="O6:P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8"/>
    <col collapsed="false" customWidth="true" hidden="false" outlineLevel="0" max="5" min="4" style="0" width="12"/>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2"/>
    <col collapsed="false" customWidth="true" hidden="false" outlineLevel="0" max="12" min="10" style="0" width="10"/>
    <col collapsed="false" customWidth="true" hidden="false" outlineLevel="0" max="13" min="13" style="0" width="18"/>
    <col collapsed="false" customWidth="true" hidden="false" outlineLevel="0" max="14" min="14" style="0" width="13"/>
    <col collapsed="false" customWidth="true" hidden="false" outlineLevel="0" max="15" min="15" style="0" width="7"/>
  </cols>
  <sheetData>
    <row r="1" customFormat="false" ht="17.35" hidden="false" customHeight="false" outlineLevel="0" collapsed="false">
      <c r="A1" s="14" t="s">
        <v>210</v>
      </c>
    </row>
    <row r="2" customFormat="false" ht="15" hidden="false" customHeight="false" outlineLevel="0" collapsed="false">
      <c r="A2" s="2" t="s">
        <v>211</v>
      </c>
    </row>
    <row r="3" customFormat="false" ht="15" hidden="false" customHeight="false" outlineLevel="0" collapsed="false">
      <c r="A3" s="5" t="s">
        <v>212</v>
      </c>
      <c r="B3" s="30" t="n">
        <v>46023</v>
      </c>
      <c r="D3" s="2" t="s">
        <v>213</v>
      </c>
    </row>
    <row r="4" customFormat="false" ht="15" hidden="false" customHeight="false" outlineLevel="0" collapsed="false">
      <c r="A4" s="5" t="s">
        <v>214</v>
      </c>
      <c r="B4" s="30" t="n">
        <v>46387</v>
      </c>
    </row>
    <row r="6" customFormat="false" ht="31.5" hidden="false" customHeight="true" outlineLevel="0" collapsed="false">
      <c r="A6" s="11" t="s">
        <v>215</v>
      </c>
      <c r="B6" s="11" t="s">
        <v>216</v>
      </c>
      <c r="C6" s="11" t="s">
        <v>192</v>
      </c>
      <c r="D6" s="11" t="s">
        <v>184</v>
      </c>
      <c r="E6" s="11" t="s">
        <v>185</v>
      </c>
      <c r="F6" s="11" t="s">
        <v>196</v>
      </c>
      <c r="G6" s="11" t="s">
        <v>217</v>
      </c>
      <c r="H6" s="11" t="s">
        <v>186</v>
      </c>
      <c r="I6" s="11" t="s">
        <v>199</v>
      </c>
      <c r="J6" s="11" t="s">
        <v>83</v>
      </c>
      <c r="K6" s="11" t="s">
        <v>101</v>
      </c>
      <c r="L6" s="11" t="s">
        <v>218</v>
      </c>
      <c r="M6" s="11" t="s">
        <v>219</v>
      </c>
      <c r="N6" s="11" t="s">
        <v>220</v>
      </c>
      <c r="O6" s="11" t="s">
        <v>221</v>
      </c>
    </row>
    <row r="7" customFormat="false" ht="15" hidden="false" customHeight="false" outlineLevel="0" collapsed="false">
      <c r="A7" s="31" t="str">
        <f aca="false">IF(Employee_Master!A5="","",Employee_Master!A5)</f>
        <v>E-1001</v>
      </c>
      <c r="B7" s="31" t="str">
        <f aca="false">IF($A7="","",Employee_Master!B5)</f>
        <v>Andrea Villanueva</v>
      </c>
      <c r="C7" s="31" t="str">
        <f aca="false">IF($A7="","",Employee_Master!C5)</f>
        <v>Design</v>
      </c>
      <c r="D7" s="32" t="n">
        <f aca="false">IF($A7="","",COUNTIFS(Qualification_Log!$C$5:$C$304,$A7,Qualification_Log!$U$5:$U$304,"Active"))</f>
        <v>2</v>
      </c>
      <c r="E7" s="32" t="n">
        <f aca="false">IF($A7="","",COUNTIFS(Qualification_Log!$C$5:$C$304,$A7,Qualification_Log!$Q$5:$Q$304,"Yes",Qualification_Log!$R$5:$R$304,"&gt;="&amp;$B$3,Qualification_Log!$R$5:$R$304,"&lt;="&amp;$B$4))</f>
        <v>0</v>
      </c>
      <c r="F7" s="32" t="n">
        <f aca="false">IF($A7="","",COUNTIFS(Qualification_Log!$C$5:$C$304,$A7,Qualification_Log!$G$5:$G$304,"Quality Incident",Qualification_Log!$B$5:$B$304,"&gt;="&amp;$B$3,Qualification_Log!$B$5:$B$304,"&lt;="&amp;$B$4)+COUNTIFS(Qualification_Log!$C$5:$C$304,$A7,Qualification_Log!$G$5:$G$304,"Decertification",Qualification_Log!$O$5:$O$304,"&lt;&gt;",Qualification_Log!$B$5:$B$304,"&gt;="&amp;$B$3,Qualification_Log!$B$5:$B$304,"&lt;="&amp;$B$4))</f>
        <v>0</v>
      </c>
      <c r="G7" s="32" t="n">
        <f aca="false">IF($A7="","",COUNTIFS(Qualification_Log!$C$5:$C$304,$A7,Qualification_Log!$O$5:$O$304,"Critical",Qualification_Log!$B$5:$B$304,"&gt;="&amp;$B$3,Qualification_Log!$B$5:$B$304,"&lt;="&amp;$B$4))</f>
        <v>0</v>
      </c>
      <c r="H7" s="33" t="n">
        <f aca="false">IF($A7="","",SUMIFS(Qualification_Log!$N$5:$N$304,Qualification_Log!$C$5:$C$304,$A7,Qualification_Log!$B$5:$B$304,"&gt;="&amp;$B$3,Qualification_Log!$B$5:$B$304,"&lt;="&amp;$B$4))</f>
        <v>0</v>
      </c>
      <c r="I7" s="32" t="n">
        <f aca="false">IF($A7="","",COUNTIFS(Recognition_Log!$C$5:$C$304,$A7,Recognition_Log!$N$5:$N$304,"Approved",Recognition_Log!$O$5:$O$304,"&gt;="&amp;$B$3,Recognition_Log!$O$5:$O$304,"&lt;="&amp;$B$4))</f>
        <v>2</v>
      </c>
      <c r="J7" s="32" t="n">
        <f aca="false">IF($A7="","",SUMIFS(Recognition_Log!$Q$5:$Q$304,Recognition_Log!$C$5:$C$304,$A7,Recognition_Log!$O$5:$O$304,"&gt;="&amp;$B$3,Recognition_Log!$O$5:$O$304,"&lt;="&amp;$B$4))</f>
        <v>45</v>
      </c>
      <c r="K7" s="32" t="n">
        <f aca="false">IF($A7="","",SUMIFS(Corrective_Action_Log!$T$5:$T$304,Corrective_Action_Log!$C$5:$C$304,$A7,Corrective_Action_Log!$N$5:$N$304,"&gt;="&amp;$B$3,Corrective_Action_Log!$N$5:$N$304,"&lt;="&amp;$B$4))</f>
        <v>0</v>
      </c>
      <c r="L7" s="32" t="n">
        <f aca="false">IF($A7="","",J7-K7)</f>
        <v>45</v>
      </c>
      <c r="M7" s="34" t="str">
        <f aca="false">IF($A7="","",IF(OR(G7&gt;0,E7&gt;0),"Under Review",IF(L7&gt;=Reference_Data!$AL$7,"Exemplary",IF(L7&gt;=Reference_Data!$AL$8,"Commendable",IF(L7&gt;=Reference_Data!$AL$9,"Meets Standard","Needs Improvement")))))</f>
        <v>Exemplary</v>
      </c>
      <c r="N7" s="34" t="str">
        <f aca="false">IF($A7="","",IF(OR(G7&gt;0,K7&gt;=Reference_Data!$AL$10),"Ineligible","Eligible"))</f>
        <v>Eligible</v>
      </c>
      <c r="O7" s="32" t="n">
        <f aca="false">IF($A7="","",RANK(L7,$L$7:$L$106))</f>
        <v>1</v>
      </c>
    </row>
    <row r="8" customFormat="false" ht="15" hidden="false" customHeight="false" outlineLevel="0" collapsed="false">
      <c r="A8" s="31" t="str">
        <f aca="false">IF(Employee_Master!A6="","",Employee_Master!A6)</f>
        <v>E-1002</v>
      </c>
      <c r="B8" s="31" t="str">
        <f aca="false">IF($A8="","",Employee_Master!B6)</f>
        <v>Carlo Mendoza</v>
      </c>
      <c r="C8" s="31" t="str">
        <f aca="false">IF($A8="","",Employee_Master!C6)</f>
        <v>Design</v>
      </c>
      <c r="D8" s="32" t="n">
        <f aca="false">IF($A8="","",COUNTIFS(Qualification_Log!$C$5:$C$304,$A8,Qualification_Log!$U$5:$U$304,"Active"))</f>
        <v>1</v>
      </c>
      <c r="E8" s="32" t="n">
        <f aca="false">IF($A8="","",COUNTIFS(Qualification_Log!$C$5:$C$304,$A8,Qualification_Log!$Q$5:$Q$304,"Yes",Qualification_Log!$R$5:$R$304,"&gt;="&amp;$B$3,Qualification_Log!$R$5:$R$304,"&lt;="&amp;$B$4))</f>
        <v>0</v>
      </c>
      <c r="F8" s="32" t="n">
        <f aca="false">IF($A8="","",COUNTIFS(Qualification_Log!$C$5:$C$304,$A8,Qualification_Log!$G$5:$G$304,"Quality Incident",Qualification_Log!$B$5:$B$304,"&gt;="&amp;$B$3,Qualification_Log!$B$5:$B$304,"&lt;="&amp;$B$4)+COUNTIFS(Qualification_Log!$C$5:$C$304,$A8,Qualification_Log!$G$5:$G$304,"Decertification",Qualification_Log!$O$5:$O$304,"&lt;&gt;",Qualification_Log!$B$5:$B$304,"&gt;="&amp;$B$3,Qualification_Log!$B$5:$B$304,"&lt;="&amp;$B$4))</f>
        <v>1</v>
      </c>
      <c r="G8" s="32" t="n">
        <f aca="false">IF($A8="","",COUNTIFS(Qualification_Log!$C$5:$C$304,$A8,Qualification_Log!$O$5:$O$304,"Critical",Qualification_Log!$B$5:$B$304,"&gt;="&amp;$B$3,Qualification_Log!$B$5:$B$304,"&lt;="&amp;$B$4))</f>
        <v>0</v>
      </c>
      <c r="H8" s="33" t="n">
        <f aca="false">IF($A8="","",SUMIFS(Qualification_Log!$N$5:$N$304,Qualification_Log!$C$5:$C$304,$A8,Qualification_Log!$B$5:$B$304,"&gt;="&amp;$B$3,Qualification_Log!$B$5:$B$304,"&lt;="&amp;$B$4))</f>
        <v>3500</v>
      </c>
      <c r="I8" s="32" t="n">
        <f aca="false">IF($A8="","",COUNTIFS(Recognition_Log!$C$5:$C$304,$A8,Recognition_Log!$N$5:$N$304,"Approved",Recognition_Log!$O$5:$O$304,"&gt;="&amp;$B$3,Recognition_Log!$O$5:$O$304,"&lt;="&amp;$B$4))</f>
        <v>1</v>
      </c>
      <c r="J8" s="32" t="n">
        <f aca="false">IF($A8="","",SUMIFS(Recognition_Log!$Q$5:$Q$304,Recognition_Log!$C$5:$C$304,$A8,Recognition_Log!$O$5:$O$304,"&gt;="&amp;$B$3,Recognition_Log!$O$5:$O$304,"&lt;="&amp;$B$4))</f>
        <v>15</v>
      </c>
      <c r="K8" s="32" t="n">
        <f aca="false">IF($A8="","",SUMIFS(Corrective_Action_Log!$T$5:$T$304,Corrective_Action_Log!$C$5:$C$304,$A8,Corrective_Action_Log!$N$5:$N$304,"&gt;="&amp;$B$3,Corrective_Action_Log!$N$5:$N$304,"&lt;="&amp;$B$4))</f>
        <v>0</v>
      </c>
      <c r="L8" s="32" t="n">
        <f aca="false">IF($A8="","",J8-K8)</f>
        <v>15</v>
      </c>
      <c r="M8" s="34" t="str">
        <f aca="false">IF($A8="","",IF(OR(G8&gt;0,E8&gt;0),"Under Review",IF(L8&gt;=Reference_Data!$AL$7,"Exemplary",IF(L8&gt;=Reference_Data!$AL$8,"Commendable",IF(L8&gt;=Reference_Data!$AL$9,"Meets Standard","Needs Improvement")))))</f>
        <v>Commendable</v>
      </c>
      <c r="N8" s="34" t="str">
        <f aca="false">IF($A8="","",IF(OR(G8&gt;0,K8&gt;=Reference_Data!$AL$10),"Ineligible","Eligible"))</f>
        <v>Eligible</v>
      </c>
      <c r="O8" s="32" t="n">
        <f aca="false">IF($A8="","",RANK(L8,$L$7:$L$106))</f>
        <v>3</v>
      </c>
    </row>
    <row r="9" customFormat="false" ht="15" hidden="false" customHeight="false" outlineLevel="0" collapsed="false">
      <c r="A9" s="31" t="str">
        <f aca="false">IF(Employee_Master!A7="","",Employee_Master!A7)</f>
        <v>E-1003</v>
      </c>
      <c r="B9" s="31" t="str">
        <f aca="false">IF($A9="","",Employee_Master!B7)</f>
        <v>Bea Santos</v>
      </c>
      <c r="C9" s="31" t="str">
        <f aca="false">IF($A9="","",Employee_Master!C7)</f>
        <v>Permitting</v>
      </c>
      <c r="D9" s="32" t="n">
        <f aca="false">IF($A9="","",COUNTIFS(Qualification_Log!$C$5:$C$304,$A9,Qualification_Log!$U$5:$U$304,"Active"))</f>
        <v>0</v>
      </c>
      <c r="E9" s="32" t="n">
        <f aca="false">IF($A9="","",COUNTIFS(Qualification_Log!$C$5:$C$304,$A9,Qualification_Log!$Q$5:$Q$304,"Yes",Qualification_Log!$R$5:$R$304,"&gt;="&amp;$B$3,Qualification_Log!$R$5:$R$304,"&lt;="&amp;$B$4))</f>
        <v>0</v>
      </c>
      <c r="F9" s="32" t="n">
        <f aca="false">IF($A9="","",COUNTIFS(Qualification_Log!$C$5:$C$304,$A9,Qualification_Log!$G$5:$G$304,"Quality Incident",Qualification_Log!$B$5:$B$304,"&gt;="&amp;$B$3,Qualification_Log!$B$5:$B$304,"&lt;="&amp;$B$4)+COUNTIFS(Qualification_Log!$C$5:$C$304,$A9,Qualification_Log!$G$5:$G$304,"Decertification",Qualification_Log!$O$5:$O$304,"&lt;&gt;",Qualification_Log!$B$5:$B$304,"&gt;="&amp;$B$3,Qualification_Log!$B$5:$B$304,"&lt;="&amp;$B$4))</f>
        <v>0</v>
      </c>
      <c r="G9" s="32" t="n">
        <f aca="false">IF($A9="","",COUNTIFS(Qualification_Log!$C$5:$C$304,$A9,Qualification_Log!$O$5:$O$304,"Critical",Qualification_Log!$B$5:$B$304,"&gt;="&amp;$B$3,Qualification_Log!$B$5:$B$304,"&lt;="&amp;$B$4))</f>
        <v>0</v>
      </c>
      <c r="H9" s="33" t="n">
        <f aca="false">IF($A9="","",SUMIFS(Qualification_Log!$N$5:$N$304,Qualification_Log!$C$5:$C$304,$A9,Qualification_Log!$B$5:$B$304,"&gt;="&amp;$B$3,Qualification_Log!$B$5:$B$304,"&lt;="&amp;$B$4))</f>
        <v>0</v>
      </c>
      <c r="I9" s="32" t="n">
        <f aca="false">IF($A9="","",COUNTIFS(Recognition_Log!$C$5:$C$304,$A9,Recognition_Log!$N$5:$N$304,"Approved",Recognition_Log!$O$5:$O$304,"&gt;="&amp;$B$3,Recognition_Log!$O$5:$O$304,"&lt;="&amp;$B$4))</f>
        <v>1</v>
      </c>
      <c r="J9" s="32" t="n">
        <f aca="false">IF($A9="","",SUMIFS(Recognition_Log!$Q$5:$Q$304,Recognition_Log!$C$5:$C$304,$A9,Recognition_Log!$O$5:$O$304,"&gt;="&amp;$B$3,Recognition_Log!$O$5:$O$304,"&lt;="&amp;$B$4))</f>
        <v>10</v>
      </c>
      <c r="K9" s="32" t="n">
        <f aca="false">IF($A9="","",SUMIFS(Corrective_Action_Log!$T$5:$T$304,Corrective_Action_Log!$C$5:$C$304,$A9,Corrective_Action_Log!$N$5:$N$304,"&gt;="&amp;$B$3,Corrective_Action_Log!$N$5:$N$304,"&lt;="&amp;$B$4))</f>
        <v>0</v>
      </c>
      <c r="L9" s="32" t="n">
        <f aca="false">IF($A9="","",J9-K9)</f>
        <v>10</v>
      </c>
      <c r="M9" s="34" t="str">
        <f aca="false">IF($A9="","",IF(OR(G9&gt;0,E9&gt;0),"Under Review",IF(L9&gt;=Reference_Data!$AL$7,"Exemplary",IF(L9&gt;=Reference_Data!$AL$8,"Commendable",IF(L9&gt;=Reference_Data!$AL$9,"Meets Standard","Needs Improvement")))))</f>
        <v>Meets Standard</v>
      </c>
      <c r="N9" s="34" t="str">
        <f aca="false">IF($A9="","",IF(OR(G9&gt;0,K9&gt;=Reference_Data!$AL$10),"Ineligible","Eligible"))</f>
        <v>Eligible</v>
      </c>
      <c r="O9" s="32" t="n">
        <f aca="false">IF($A9="","",RANK(L9,$L$7:$L$106))</f>
        <v>6</v>
      </c>
    </row>
    <row r="10" customFormat="false" ht="15" hidden="false" customHeight="false" outlineLevel="0" collapsed="false">
      <c r="A10" s="31" t="str">
        <f aca="false">IF(Employee_Master!A8="","",Employee_Master!A8)</f>
        <v>E-1004</v>
      </c>
      <c r="B10" s="31" t="str">
        <f aca="false">IF($A10="","",Employee_Master!B8)</f>
        <v>Daniel Reyes</v>
      </c>
      <c r="C10" s="31" t="str">
        <f aca="false">IF($A10="","",Employee_Master!C8)</f>
        <v>Permitting</v>
      </c>
      <c r="D10" s="32" t="n">
        <f aca="false">IF($A10="","",COUNTIFS(Qualification_Log!$C$5:$C$304,$A10,Qualification_Log!$U$5:$U$304,"Active"))</f>
        <v>1</v>
      </c>
      <c r="E10" s="32" t="n">
        <f aca="false">IF($A10="","",COUNTIFS(Qualification_Log!$C$5:$C$304,$A10,Qualification_Log!$Q$5:$Q$304,"Yes",Qualification_Log!$R$5:$R$304,"&gt;="&amp;$B$3,Qualification_Log!$R$5:$R$304,"&lt;="&amp;$B$4))</f>
        <v>0</v>
      </c>
      <c r="F10" s="32" t="n">
        <f aca="false">IF($A10="","",COUNTIFS(Qualification_Log!$C$5:$C$304,$A10,Qualification_Log!$G$5:$G$304,"Quality Incident",Qualification_Log!$B$5:$B$304,"&gt;="&amp;$B$3,Qualification_Log!$B$5:$B$304,"&lt;="&amp;$B$4)+COUNTIFS(Qualification_Log!$C$5:$C$304,$A10,Qualification_Log!$G$5:$G$304,"Decertification",Qualification_Log!$O$5:$O$304,"&lt;&gt;",Qualification_Log!$B$5:$B$304,"&gt;="&amp;$B$3,Qualification_Log!$B$5:$B$304,"&lt;="&amp;$B$4))</f>
        <v>1</v>
      </c>
      <c r="G10" s="32" t="n">
        <f aca="false">IF($A10="","",COUNTIFS(Qualification_Log!$C$5:$C$304,$A10,Qualification_Log!$O$5:$O$304,"Critical",Qualification_Log!$B$5:$B$304,"&gt;="&amp;$B$3,Qualification_Log!$B$5:$B$304,"&lt;="&amp;$B$4))</f>
        <v>0</v>
      </c>
      <c r="H10" s="33" t="n">
        <f aca="false">IF($A10="","",SUMIFS(Qualification_Log!$N$5:$N$304,Qualification_Log!$C$5:$C$304,$A10,Qualification_Log!$B$5:$B$304,"&gt;="&amp;$B$3,Qualification_Log!$B$5:$B$304,"&lt;="&amp;$B$4))</f>
        <v>9500</v>
      </c>
      <c r="I10" s="32" t="n">
        <f aca="false">IF($A10="","",COUNTIFS(Recognition_Log!$C$5:$C$304,$A10,Recognition_Log!$N$5:$N$304,"Approved",Recognition_Log!$O$5:$O$304,"&gt;="&amp;$B$3,Recognition_Log!$O$5:$O$304,"&lt;="&amp;$B$4))</f>
        <v>0</v>
      </c>
      <c r="J10" s="32" t="n">
        <f aca="false">IF($A10="","",SUMIFS(Recognition_Log!$Q$5:$Q$304,Recognition_Log!$C$5:$C$304,$A10,Recognition_Log!$O$5:$O$304,"&gt;="&amp;$B$3,Recognition_Log!$O$5:$O$304,"&lt;="&amp;$B$4))</f>
        <v>0</v>
      </c>
      <c r="K10" s="32" t="n">
        <f aca="false">IF($A10="","",SUMIFS(Corrective_Action_Log!$T$5:$T$304,Corrective_Action_Log!$C$5:$C$304,$A10,Corrective_Action_Log!$N$5:$N$304,"&gt;="&amp;$B$3,Corrective_Action_Log!$N$5:$N$304,"&lt;="&amp;$B$4))</f>
        <v>0</v>
      </c>
      <c r="L10" s="32" t="n">
        <f aca="false">IF($A10="","",J10-K10)</f>
        <v>0</v>
      </c>
      <c r="M10" s="34" t="str">
        <f aca="false">IF($A10="","",IF(OR(G10&gt;0,E10&gt;0),"Under Review",IF(L10&gt;=Reference_Data!$AL$7,"Exemplary",IF(L10&gt;=Reference_Data!$AL$8,"Commendable",IF(L10&gt;=Reference_Data!$AL$9,"Meets Standard","Needs Improvement")))))</f>
        <v>Meets Standard</v>
      </c>
      <c r="N10" s="34" t="str">
        <f aca="false">IF($A10="","",IF(OR(G10&gt;0,K10&gt;=Reference_Data!$AL$10),"Ineligible","Eligible"))</f>
        <v>Eligible</v>
      </c>
      <c r="O10" s="32" t="n">
        <f aca="false">IF($A10="","",RANK(L10,$L$7:$L$106))</f>
        <v>7</v>
      </c>
    </row>
    <row r="11" customFormat="false" ht="15" hidden="false" customHeight="false" outlineLevel="0" collapsed="false">
      <c r="A11" s="31" t="str">
        <f aca="false">IF(Employee_Master!A9="","",Employee_Master!A9)</f>
        <v>E-1005</v>
      </c>
      <c r="B11" s="31" t="str">
        <f aca="false">IF($A11="","",Employee_Master!B9)</f>
        <v>Ella Navarro</v>
      </c>
      <c r="C11" s="31" t="str">
        <f aca="false">IF($A11="","",Employee_Master!C9)</f>
        <v>Interconnection</v>
      </c>
      <c r="D11" s="32" t="n">
        <f aca="false">IF($A11="","",COUNTIFS(Qualification_Log!$C$5:$C$304,$A11,Qualification_Log!$U$5:$U$304,"Active"))</f>
        <v>1</v>
      </c>
      <c r="E11" s="32" t="n">
        <f aca="false">IF($A11="","",COUNTIFS(Qualification_Log!$C$5:$C$304,$A11,Qualification_Log!$Q$5:$Q$304,"Yes",Qualification_Log!$R$5:$R$304,"&gt;="&amp;$B$3,Qualification_Log!$R$5:$R$304,"&lt;="&amp;$B$4))</f>
        <v>0</v>
      </c>
      <c r="F11" s="32" t="n">
        <f aca="false">IF($A11="","",COUNTIFS(Qualification_Log!$C$5:$C$304,$A11,Qualification_Log!$G$5:$G$304,"Quality Incident",Qualification_Log!$B$5:$B$304,"&gt;="&amp;$B$3,Qualification_Log!$B$5:$B$304,"&lt;="&amp;$B$4)+COUNTIFS(Qualification_Log!$C$5:$C$304,$A11,Qualification_Log!$G$5:$G$304,"Decertification",Qualification_Log!$O$5:$O$304,"&lt;&gt;",Qualification_Log!$B$5:$B$304,"&gt;="&amp;$B$3,Qualification_Log!$B$5:$B$304,"&lt;="&amp;$B$4))</f>
        <v>0</v>
      </c>
      <c r="G11" s="32" t="n">
        <f aca="false">IF($A11="","",COUNTIFS(Qualification_Log!$C$5:$C$304,$A11,Qualification_Log!$O$5:$O$304,"Critical",Qualification_Log!$B$5:$B$304,"&gt;="&amp;$B$3,Qualification_Log!$B$5:$B$304,"&lt;="&amp;$B$4))</f>
        <v>0</v>
      </c>
      <c r="H11" s="33" t="n">
        <f aca="false">IF($A11="","",SUMIFS(Qualification_Log!$N$5:$N$304,Qualification_Log!$C$5:$C$304,$A11,Qualification_Log!$B$5:$B$304,"&gt;="&amp;$B$3,Qualification_Log!$B$5:$B$304,"&lt;="&amp;$B$4))</f>
        <v>0</v>
      </c>
      <c r="I11" s="32" t="n">
        <f aca="false">IF($A11="","",COUNTIFS(Recognition_Log!$C$5:$C$304,$A11,Recognition_Log!$N$5:$N$304,"Approved",Recognition_Log!$O$5:$O$304,"&gt;="&amp;$B$3,Recognition_Log!$O$5:$O$304,"&lt;="&amp;$B$4))</f>
        <v>1</v>
      </c>
      <c r="J11" s="32" t="n">
        <f aca="false">IF($A11="","",SUMIFS(Recognition_Log!$Q$5:$Q$304,Recognition_Log!$C$5:$C$304,$A11,Recognition_Log!$O$5:$O$304,"&gt;="&amp;$B$3,Recognition_Log!$O$5:$O$304,"&lt;="&amp;$B$4))</f>
        <v>15</v>
      </c>
      <c r="K11" s="32" t="n">
        <f aca="false">IF($A11="","",SUMIFS(Corrective_Action_Log!$T$5:$T$304,Corrective_Action_Log!$C$5:$C$304,$A11,Corrective_Action_Log!$N$5:$N$304,"&gt;="&amp;$B$3,Corrective_Action_Log!$N$5:$N$304,"&lt;="&amp;$B$4))</f>
        <v>0</v>
      </c>
      <c r="L11" s="32" t="n">
        <f aca="false">IF($A11="","",J11-K11)</f>
        <v>15</v>
      </c>
      <c r="M11" s="34" t="str">
        <f aca="false">IF($A11="","",IF(OR(G11&gt;0,E11&gt;0),"Under Review",IF(L11&gt;=Reference_Data!$AL$7,"Exemplary",IF(L11&gt;=Reference_Data!$AL$8,"Commendable",IF(L11&gt;=Reference_Data!$AL$9,"Meets Standard","Needs Improvement")))))</f>
        <v>Commendable</v>
      </c>
      <c r="N11" s="34" t="str">
        <f aca="false">IF($A11="","",IF(OR(G11&gt;0,K11&gt;=Reference_Data!$AL$10),"Ineligible","Eligible"))</f>
        <v>Eligible</v>
      </c>
      <c r="O11" s="32" t="n">
        <f aca="false">IF($A11="","",RANK(L11,$L$7:$L$106))</f>
        <v>3</v>
      </c>
    </row>
    <row r="12" customFormat="false" ht="15" hidden="false" customHeight="false" outlineLevel="0" collapsed="false">
      <c r="A12" s="31" t="str">
        <f aca="false">IF(Employee_Master!A10="","",Employee_Master!A10)</f>
        <v>E-1006</v>
      </c>
      <c r="B12" s="31" t="str">
        <f aca="false">IF($A12="","",Employee_Master!B10)</f>
        <v>Francis Aquino</v>
      </c>
      <c r="C12" s="31" t="str">
        <f aca="false">IF($A12="","",Employee_Master!C10)</f>
        <v>Interconnection</v>
      </c>
      <c r="D12" s="32" t="n">
        <f aca="false">IF($A12="","",COUNTIFS(Qualification_Log!$C$5:$C$304,$A12,Qualification_Log!$U$5:$U$304,"Active"))</f>
        <v>1</v>
      </c>
      <c r="E12" s="32" t="n">
        <f aca="false">IF($A12="","",COUNTIFS(Qualification_Log!$C$5:$C$304,$A12,Qualification_Log!$Q$5:$Q$304,"Yes",Qualification_Log!$R$5:$R$304,"&gt;="&amp;$B$3,Qualification_Log!$R$5:$R$304,"&lt;="&amp;$B$4))</f>
        <v>0</v>
      </c>
      <c r="F12" s="32" t="n">
        <f aca="false">IF($A12="","",COUNTIFS(Qualification_Log!$C$5:$C$304,$A12,Qualification_Log!$G$5:$G$304,"Quality Incident",Qualification_Log!$B$5:$B$304,"&gt;="&amp;$B$3,Qualification_Log!$B$5:$B$304,"&lt;="&amp;$B$4)+COUNTIFS(Qualification_Log!$C$5:$C$304,$A12,Qualification_Log!$G$5:$G$304,"Decertification",Qualification_Log!$O$5:$O$304,"&lt;&gt;",Qualification_Log!$B$5:$B$304,"&gt;="&amp;$B$3,Qualification_Log!$B$5:$B$304,"&lt;="&amp;$B$4))</f>
        <v>1</v>
      </c>
      <c r="G12" s="32" t="n">
        <f aca="false">IF($A12="","",COUNTIFS(Qualification_Log!$C$5:$C$304,$A12,Qualification_Log!$O$5:$O$304,"Critical",Qualification_Log!$B$5:$B$304,"&gt;="&amp;$B$3,Qualification_Log!$B$5:$B$304,"&lt;="&amp;$B$4))</f>
        <v>0</v>
      </c>
      <c r="H12" s="33" t="n">
        <f aca="false">IF($A12="","",SUMIFS(Qualification_Log!$N$5:$N$304,Qualification_Log!$C$5:$C$304,$A12,Qualification_Log!$B$5:$B$304,"&gt;="&amp;$B$3,Qualification_Log!$B$5:$B$304,"&lt;="&amp;$B$4))</f>
        <v>2500</v>
      </c>
      <c r="I12" s="32" t="n">
        <f aca="false">IF($A12="","",COUNTIFS(Recognition_Log!$C$5:$C$304,$A12,Recognition_Log!$N$5:$N$304,"Approved",Recognition_Log!$O$5:$O$304,"&gt;="&amp;$B$3,Recognition_Log!$O$5:$O$304,"&lt;="&amp;$B$4))</f>
        <v>0</v>
      </c>
      <c r="J12" s="32" t="n">
        <f aca="false">IF($A12="","",SUMIFS(Recognition_Log!$Q$5:$Q$304,Recognition_Log!$C$5:$C$304,$A12,Recognition_Log!$O$5:$O$304,"&gt;="&amp;$B$3,Recognition_Log!$O$5:$O$304,"&lt;="&amp;$B$4))</f>
        <v>0</v>
      </c>
      <c r="K12" s="32" t="n">
        <f aca="false">IF($A12="","",SUMIFS(Corrective_Action_Log!$T$5:$T$304,Corrective_Action_Log!$C$5:$C$304,$A12,Corrective_Action_Log!$N$5:$N$304,"&gt;="&amp;$B$3,Corrective_Action_Log!$N$5:$N$304,"&lt;="&amp;$B$4))</f>
        <v>0</v>
      </c>
      <c r="L12" s="32" t="n">
        <f aca="false">IF($A12="","",J12-K12)</f>
        <v>0</v>
      </c>
      <c r="M12" s="34" t="str">
        <f aca="false">IF($A12="","",IF(OR(G12&gt;0,E12&gt;0),"Under Review",IF(L12&gt;=Reference_Data!$AL$7,"Exemplary",IF(L12&gt;=Reference_Data!$AL$8,"Commendable",IF(L12&gt;=Reference_Data!$AL$9,"Meets Standard","Needs Improvement")))))</f>
        <v>Meets Standard</v>
      </c>
      <c r="N12" s="34" t="str">
        <f aca="false">IF($A12="","",IF(OR(G12&gt;0,K12&gt;=Reference_Data!$AL$10),"Ineligible","Eligible"))</f>
        <v>Eligible</v>
      </c>
      <c r="O12" s="32" t="n">
        <f aca="false">IF($A12="","",RANK(L12,$L$7:$L$106))</f>
        <v>7</v>
      </c>
    </row>
    <row r="13" customFormat="false" ht="15" hidden="false" customHeight="false" outlineLevel="0" collapsed="false">
      <c r="A13" s="31" t="str">
        <f aca="false">IF(Employee_Master!A11="","",Employee_Master!A11)</f>
        <v>E-1007</v>
      </c>
      <c r="B13" s="31" t="str">
        <f aca="false">IF($A13="","",Employee_Master!B11)</f>
        <v>Grace Bautista</v>
      </c>
      <c r="C13" s="31" t="str">
        <f aca="false">IF($A13="","",Employee_Master!C11)</f>
        <v>Quality Assurance</v>
      </c>
      <c r="D13" s="32" t="n">
        <f aca="false">IF($A13="","",COUNTIFS(Qualification_Log!$C$5:$C$304,$A13,Qualification_Log!$U$5:$U$304,"Active"))</f>
        <v>1</v>
      </c>
      <c r="E13" s="32" t="n">
        <f aca="false">IF($A13="","",COUNTIFS(Qualification_Log!$C$5:$C$304,$A13,Qualification_Log!$Q$5:$Q$304,"Yes",Qualification_Log!$R$5:$R$304,"&gt;="&amp;$B$3,Qualification_Log!$R$5:$R$304,"&lt;="&amp;$B$4))</f>
        <v>0</v>
      </c>
      <c r="F13" s="32" t="n">
        <f aca="false">IF($A13="","",COUNTIFS(Qualification_Log!$C$5:$C$304,$A13,Qualification_Log!$G$5:$G$304,"Quality Incident",Qualification_Log!$B$5:$B$304,"&gt;="&amp;$B$3,Qualification_Log!$B$5:$B$304,"&lt;="&amp;$B$4)+COUNTIFS(Qualification_Log!$C$5:$C$304,$A13,Qualification_Log!$G$5:$G$304,"Decertification",Qualification_Log!$O$5:$O$304,"&lt;&gt;",Qualification_Log!$B$5:$B$304,"&gt;="&amp;$B$3,Qualification_Log!$B$5:$B$304,"&lt;="&amp;$B$4))</f>
        <v>0</v>
      </c>
      <c r="G13" s="32" t="n">
        <f aca="false">IF($A13="","",COUNTIFS(Qualification_Log!$C$5:$C$304,$A13,Qualification_Log!$O$5:$O$304,"Critical",Qualification_Log!$B$5:$B$304,"&gt;="&amp;$B$3,Qualification_Log!$B$5:$B$304,"&lt;="&amp;$B$4))</f>
        <v>0</v>
      </c>
      <c r="H13" s="33" t="n">
        <f aca="false">IF($A13="","",SUMIFS(Qualification_Log!$N$5:$N$304,Qualification_Log!$C$5:$C$304,$A13,Qualification_Log!$B$5:$B$304,"&gt;="&amp;$B$3,Qualification_Log!$B$5:$B$304,"&lt;="&amp;$B$4))</f>
        <v>1500</v>
      </c>
      <c r="I13" s="32" t="n">
        <f aca="false">IF($A13="","",COUNTIFS(Recognition_Log!$C$5:$C$304,$A13,Recognition_Log!$N$5:$N$304,"Approved",Recognition_Log!$O$5:$O$304,"&gt;="&amp;$B$3,Recognition_Log!$O$5:$O$304,"&lt;="&amp;$B$4))</f>
        <v>1</v>
      </c>
      <c r="J13" s="32" t="n">
        <f aca="false">IF($A13="","",SUMIFS(Recognition_Log!$Q$5:$Q$304,Recognition_Log!$C$5:$C$304,$A13,Recognition_Log!$O$5:$O$304,"&gt;="&amp;$B$3,Recognition_Log!$O$5:$O$304,"&lt;="&amp;$B$4))</f>
        <v>20</v>
      </c>
      <c r="K13" s="32" t="n">
        <f aca="false">IF($A13="","",SUMIFS(Corrective_Action_Log!$T$5:$T$304,Corrective_Action_Log!$C$5:$C$304,$A13,Corrective_Action_Log!$N$5:$N$304,"&gt;="&amp;$B$3,Corrective_Action_Log!$N$5:$N$304,"&lt;="&amp;$B$4))</f>
        <v>0</v>
      </c>
      <c r="L13" s="32" t="n">
        <f aca="false">IF($A13="","",J13-K13)</f>
        <v>20</v>
      </c>
      <c r="M13" s="34" t="str">
        <f aca="false">IF($A13="","",IF(OR(G13&gt;0,E13&gt;0),"Under Review",IF(L13&gt;=Reference_Data!$AL$7,"Exemplary",IF(L13&gt;=Reference_Data!$AL$8,"Commendable",IF(L13&gt;=Reference_Data!$AL$9,"Meets Standard","Needs Improvement")))))</f>
        <v>Commendable</v>
      </c>
      <c r="N13" s="34" t="str">
        <f aca="false">IF($A13="","",IF(OR(G13&gt;0,K13&gt;=Reference_Data!$AL$10),"Ineligible","Eligible"))</f>
        <v>Eligible</v>
      </c>
      <c r="O13" s="32" t="n">
        <f aca="false">IF($A13="","",RANK(L13,$L$7:$L$106))</f>
        <v>2</v>
      </c>
    </row>
    <row r="14" customFormat="false" ht="15" hidden="false" customHeight="false" outlineLevel="0" collapsed="false">
      <c r="A14" s="31" t="str">
        <f aca="false">IF(Employee_Master!A12="","",Employee_Master!A12)</f>
        <v>E-1008</v>
      </c>
      <c r="B14" s="31" t="str">
        <f aca="false">IF($A14="","",Employee_Master!B12)</f>
        <v>Hector Lim</v>
      </c>
      <c r="C14" s="31" t="str">
        <f aca="false">IF($A14="","",Employee_Master!C12)</f>
        <v>Quality Assurance</v>
      </c>
      <c r="D14" s="32" t="n">
        <f aca="false">IF($A14="","",COUNTIFS(Qualification_Log!$C$5:$C$304,$A14,Qualification_Log!$U$5:$U$304,"Active"))</f>
        <v>1</v>
      </c>
      <c r="E14" s="32" t="n">
        <f aca="false">IF($A14="","",COUNTIFS(Qualification_Log!$C$5:$C$304,$A14,Qualification_Log!$Q$5:$Q$304,"Yes",Qualification_Log!$R$5:$R$304,"&gt;="&amp;$B$3,Qualification_Log!$R$5:$R$304,"&lt;="&amp;$B$4))</f>
        <v>0</v>
      </c>
      <c r="F14" s="32" t="n">
        <f aca="false">IF($A14="","",COUNTIFS(Qualification_Log!$C$5:$C$304,$A14,Qualification_Log!$G$5:$G$304,"Quality Incident",Qualification_Log!$B$5:$B$304,"&gt;="&amp;$B$3,Qualification_Log!$B$5:$B$304,"&lt;="&amp;$B$4)+COUNTIFS(Qualification_Log!$C$5:$C$304,$A14,Qualification_Log!$G$5:$G$304,"Decertification",Qualification_Log!$O$5:$O$304,"&lt;&gt;",Qualification_Log!$B$5:$B$304,"&gt;="&amp;$B$3,Qualification_Log!$B$5:$B$304,"&lt;="&amp;$B$4))</f>
        <v>0</v>
      </c>
      <c r="G14" s="32" t="n">
        <f aca="false">IF($A14="","",COUNTIFS(Qualification_Log!$C$5:$C$304,$A14,Qualification_Log!$O$5:$O$304,"Critical",Qualification_Log!$B$5:$B$304,"&gt;="&amp;$B$3,Qualification_Log!$B$5:$B$304,"&lt;="&amp;$B$4))</f>
        <v>0</v>
      </c>
      <c r="H14" s="33" t="n">
        <f aca="false">IF($A14="","",SUMIFS(Qualification_Log!$N$5:$N$304,Qualification_Log!$C$5:$C$304,$A14,Qualification_Log!$B$5:$B$304,"&gt;="&amp;$B$3,Qualification_Log!$B$5:$B$304,"&lt;="&amp;$B$4))</f>
        <v>8000</v>
      </c>
      <c r="I14" s="32" t="n">
        <f aca="false">IF($A14="","",COUNTIFS(Recognition_Log!$C$5:$C$304,$A14,Recognition_Log!$N$5:$N$304,"Approved",Recognition_Log!$O$5:$O$304,"&gt;="&amp;$B$3,Recognition_Log!$O$5:$O$304,"&lt;="&amp;$B$4))</f>
        <v>1</v>
      </c>
      <c r="J14" s="32" t="n">
        <f aca="false">IF($A14="","",SUMIFS(Recognition_Log!$Q$5:$Q$304,Recognition_Log!$C$5:$C$304,$A14,Recognition_Log!$O$5:$O$304,"&gt;="&amp;$B$3,Recognition_Log!$O$5:$O$304,"&lt;="&amp;$B$4))</f>
        <v>15</v>
      </c>
      <c r="K14" s="32" t="n">
        <f aca="false">IF($A14="","",SUMIFS(Corrective_Action_Log!$T$5:$T$304,Corrective_Action_Log!$C$5:$C$304,$A14,Corrective_Action_Log!$N$5:$N$304,"&gt;="&amp;$B$3,Corrective_Action_Log!$N$5:$N$304,"&lt;="&amp;$B$4))</f>
        <v>0</v>
      </c>
      <c r="L14" s="32" t="n">
        <f aca="false">IF($A14="","",J14-K14)</f>
        <v>15</v>
      </c>
      <c r="M14" s="34" t="str">
        <f aca="false">IF($A14="","",IF(OR(G14&gt;0,E14&gt;0),"Under Review",IF(L14&gt;=Reference_Data!$AL$7,"Exemplary",IF(L14&gt;=Reference_Data!$AL$8,"Commendable",IF(L14&gt;=Reference_Data!$AL$9,"Meets Standard","Needs Improvement")))))</f>
        <v>Commendable</v>
      </c>
      <c r="N14" s="34" t="str">
        <f aca="false">IF($A14="","",IF(OR(G14&gt;0,K14&gt;=Reference_Data!$AL$10),"Ineligible","Eligible"))</f>
        <v>Eligible</v>
      </c>
      <c r="O14" s="32" t="n">
        <f aca="false">IF($A14="","",RANK(L14,$L$7:$L$106))</f>
        <v>3</v>
      </c>
    </row>
    <row r="15" customFormat="false" ht="15" hidden="false" customHeight="false" outlineLevel="0" collapsed="false">
      <c r="A15" s="31" t="str">
        <f aca="false">IF(Employee_Master!A13="","",Employee_Master!A13)</f>
        <v>E-1009</v>
      </c>
      <c r="B15" s="31" t="str">
        <f aca="false">IF($A15="","",Employee_Master!B13)</f>
        <v>Ivy Castillo</v>
      </c>
      <c r="C15" s="31" t="str">
        <f aca="false">IF($A15="","",Employee_Master!C13)</f>
        <v>Project Management</v>
      </c>
      <c r="D15" s="32" t="n">
        <f aca="false">IF($A15="","",COUNTIFS(Qualification_Log!$C$5:$C$304,$A15,Qualification_Log!$U$5:$U$304,"Active"))</f>
        <v>0</v>
      </c>
      <c r="E15" s="32" t="n">
        <f aca="false">IF($A15="","",COUNTIFS(Qualification_Log!$C$5:$C$304,$A15,Qualification_Log!$Q$5:$Q$304,"Yes",Qualification_Log!$R$5:$R$304,"&gt;="&amp;$B$3,Qualification_Log!$R$5:$R$304,"&lt;="&amp;$B$4))</f>
        <v>0</v>
      </c>
      <c r="F15" s="32" t="n">
        <f aca="false">IF($A15="","",COUNTIFS(Qualification_Log!$C$5:$C$304,$A15,Qualification_Log!$G$5:$G$304,"Quality Incident",Qualification_Log!$B$5:$B$304,"&gt;="&amp;$B$3,Qualification_Log!$B$5:$B$304,"&lt;="&amp;$B$4)+COUNTIFS(Qualification_Log!$C$5:$C$304,$A15,Qualification_Log!$G$5:$G$304,"Decertification",Qualification_Log!$O$5:$O$304,"&lt;&gt;",Qualification_Log!$B$5:$B$304,"&gt;="&amp;$B$3,Qualification_Log!$B$5:$B$304,"&lt;="&amp;$B$4))</f>
        <v>0</v>
      </c>
      <c r="G15" s="32" t="n">
        <f aca="false">IF($A15="","",COUNTIFS(Qualification_Log!$C$5:$C$304,$A15,Qualification_Log!$O$5:$O$304,"Critical",Qualification_Log!$B$5:$B$304,"&gt;="&amp;$B$3,Qualification_Log!$B$5:$B$304,"&lt;="&amp;$B$4))</f>
        <v>0</v>
      </c>
      <c r="H15" s="33" t="n">
        <f aca="false">IF($A15="","",SUMIFS(Qualification_Log!$N$5:$N$304,Qualification_Log!$C$5:$C$304,$A15,Qualification_Log!$B$5:$B$304,"&gt;="&amp;$B$3,Qualification_Log!$B$5:$B$304,"&lt;="&amp;$B$4))</f>
        <v>0</v>
      </c>
      <c r="I15" s="32" t="n">
        <f aca="false">IF($A15="","",COUNTIFS(Recognition_Log!$C$5:$C$304,$A15,Recognition_Log!$N$5:$N$304,"Approved",Recognition_Log!$O$5:$O$304,"&gt;="&amp;$B$3,Recognition_Log!$O$5:$O$304,"&lt;="&amp;$B$4))</f>
        <v>0</v>
      </c>
      <c r="J15" s="32" t="n">
        <f aca="false">IF($A15="","",SUMIFS(Recognition_Log!$Q$5:$Q$304,Recognition_Log!$C$5:$C$304,$A15,Recognition_Log!$O$5:$O$304,"&gt;="&amp;$B$3,Recognition_Log!$O$5:$O$304,"&lt;="&amp;$B$4))</f>
        <v>0</v>
      </c>
      <c r="K15" s="32" t="n">
        <f aca="false">IF($A15="","",SUMIFS(Corrective_Action_Log!$T$5:$T$304,Corrective_Action_Log!$C$5:$C$304,$A15,Corrective_Action_Log!$N$5:$N$304,"&gt;="&amp;$B$3,Corrective_Action_Log!$N$5:$N$304,"&lt;="&amp;$B$4))</f>
        <v>5</v>
      </c>
      <c r="L15" s="32" t="n">
        <f aca="false">IF($A15="","",J15-K15)</f>
        <v>-5</v>
      </c>
      <c r="M15" s="34" t="str">
        <f aca="false">IF($A15="","",IF(OR(G15&gt;0,E15&gt;0),"Under Review",IF(L15&gt;=Reference_Data!$AL$7,"Exemplary",IF(L15&gt;=Reference_Data!$AL$8,"Commendable",IF(L15&gt;=Reference_Data!$AL$9,"Meets Standard","Needs Improvement")))))</f>
        <v>Needs Improvement</v>
      </c>
      <c r="N15" s="34" t="str">
        <f aca="false">IF($A15="","",IF(OR(G15&gt;0,K15&gt;=Reference_Data!$AL$10),"Ineligible","Eligible"))</f>
        <v>Eligible</v>
      </c>
      <c r="O15" s="32" t="n">
        <f aca="false">IF($A15="","",RANK(L15,$L$7:$L$106))</f>
        <v>9</v>
      </c>
    </row>
    <row r="16" customFormat="false" ht="15" hidden="false" customHeight="false" outlineLevel="0" collapsed="false">
      <c r="A16" s="31" t="str">
        <f aca="false">IF(Employee_Master!A14="","",Employee_Master!A14)</f>
        <v>E-1010</v>
      </c>
      <c r="B16" s="31" t="str">
        <f aca="false">IF($A16="","",Employee_Master!B14)</f>
        <v>Jomar Dela Cruz</v>
      </c>
      <c r="C16" s="31" t="str">
        <f aca="false">IF($A16="","",Employee_Master!C14)</f>
        <v>Design</v>
      </c>
      <c r="D16" s="32" t="n">
        <f aca="false">IF($A16="","",COUNTIFS(Qualification_Log!$C$5:$C$304,$A16,Qualification_Log!$U$5:$U$304,"Active"))</f>
        <v>1</v>
      </c>
      <c r="E16" s="32" t="n">
        <f aca="false">IF($A16="","",COUNTIFS(Qualification_Log!$C$5:$C$304,$A16,Qualification_Log!$Q$5:$Q$304,"Yes",Qualification_Log!$R$5:$R$304,"&gt;="&amp;$B$3,Qualification_Log!$R$5:$R$304,"&lt;="&amp;$B$4))</f>
        <v>1</v>
      </c>
      <c r="F16" s="32" t="n">
        <f aca="false">IF($A16="","",COUNTIFS(Qualification_Log!$C$5:$C$304,$A16,Qualification_Log!$G$5:$G$304,"Quality Incident",Qualification_Log!$B$5:$B$304,"&gt;="&amp;$B$3,Qualification_Log!$B$5:$B$304,"&lt;="&amp;$B$4)+COUNTIFS(Qualification_Log!$C$5:$C$304,$A16,Qualification_Log!$G$5:$G$304,"Decertification",Qualification_Log!$O$5:$O$304,"&lt;&gt;",Qualification_Log!$B$5:$B$304,"&gt;="&amp;$B$3,Qualification_Log!$B$5:$B$304,"&lt;="&amp;$B$4))</f>
        <v>2</v>
      </c>
      <c r="G16" s="32" t="n">
        <f aca="false">IF($A16="","",COUNTIFS(Qualification_Log!$C$5:$C$304,$A16,Qualification_Log!$O$5:$O$304,"Critical",Qualification_Log!$B$5:$B$304,"&gt;="&amp;$B$3,Qualification_Log!$B$5:$B$304,"&lt;="&amp;$B$4))</f>
        <v>1</v>
      </c>
      <c r="H16" s="33" t="n">
        <f aca="false">IF($A16="","",SUMIFS(Qualification_Log!$N$5:$N$304,Qualification_Log!$C$5:$C$304,$A16,Qualification_Log!$B$5:$B$304,"&gt;="&amp;$B$3,Qualification_Log!$B$5:$B$304,"&lt;="&amp;$B$4))</f>
        <v>57000</v>
      </c>
      <c r="I16" s="32" t="n">
        <f aca="false">IF($A16="","",COUNTIFS(Recognition_Log!$C$5:$C$304,$A16,Recognition_Log!$N$5:$N$304,"Approved",Recognition_Log!$O$5:$O$304,"&gt;="&amp;$B$3,Recognition_Log!$O$5:$O$304,"&lt;="&amp;$B$4))</f>
        <v>0</v>
      </c>
      <c r="J16" s="32" t="n">
        <f aca="false">IF($A16="","",SUMIFS(Recognition_Log!$Q$5:$Q$304,Recognition_Log!$C$5:$C$304,$A16,Recognition_Log!$O$5:$O$304,"&gt;="&amp;$B$3,Recognition_Log!$O$5:$O$304,"&lt;="&amp;$B$4))</f>
        <v>0</v>
      </c>
      <c r="K16" s="32" t="n">
        <f aca="false">IF($A16="","",SUMIFS(Corrective_Action_Log!$T$5:$T$304,Corrective_Action_Log!$C$5:$C$304,$A16,Corrective_Action_Log!$N$5:$N$304,"&gt;="&amp;$B$3,Corrective_Action_Log!$N$5:$N$304,"&lt;="&amp;$B$4))</f>
        <v>45</v>
      </c>
      <c r="L16" s="32" t="n">
        <f aca="false">IF($A16="","",J16-K16)</f>
        <v>-45</v>
      </c>
      <c r="M16" s="34" t="str">
        <f aca="false">IF($A16="","",IF(OR(G16&gt;0,E16&gt;0),"Under Review",IF(L16&gt;=Reference_Data!$AL$7,"Exemplary",IF(L16&gt;=Reference_Data!$AL$8,"Commendable",IF(L16&gt;=Reference_Data!$AL$9,"Meets Standard","Needs Improvement")))))</f>
        <v>Under Review</v>
      </c>
      <c r="N16" s="34" t="str">
        <f aca="false">IF($A16="","",IF(OR(G16&gt;0,K16&gt;=Reference_Data!$AL$10),"Ineligible","Eligible"))</f>
        <v>Ineligible</v>
      </c>
      <c r="O16" s="32" t="n">
        <f aca="false">IF($A16="","",RANK(L16,$L$7:$L$106))</f>
        <v>10</v>
      </c>
    </row>
    <row r="17" customFormat="false" ht="15" hidden="false" customHeight="false" outlineLevel="0" collapsed="false">
      <c r="A17" s="31" t="str">
        <f aca="false">IF(Employee_Master!A15="","",Employee_Master!A15)</f>
        <v/>
      </c>
      <c r="B17" s="31" t="str">
        <f aca="false">IF($A17="","",Employee_Master!B15)</f>
        <v/>
      </c>
      <c r="C17" s="31" t="str">
        <f aca="false">IF($A17="","",Employee_Master!C15)</f>
        <v/>
      </c>
      <c r="D17" s="32" t="str">
        <f aca="false">IF($A17="","",COUNTIFS(Qualification_Log!$C$5:$C$304,$A17,Qualification_Log!$U$5:$U$304,"Active"))</f>
        <v/>
      </c>
      <c r="E17" s="32" t="str">
        <f aca="false">IF($A17="","",COUNTIFS(Qualification_Log!$C$5:$C$304,$A17,Qualification_Log!$Q$5:$Q$304,"Yes",Qualification_Log!$R$5:$R$304,"&gt;="&amp;$B$3,Qualification_Log!$R$5:$R$304,"&lt;="&amp;$B$4))</f>
        <v/>
      </c>
      <c r="F17" s="32" t="str">
        <f aca="false">IF($A17="","",COUNTIFS(Qualification_Log!$C$5:$C$304,$A17,Qualification_Log!$G$5:$G$304,"Quality Incident",Qualification_Log!$B$5:$B$304,"&gt;="&amp;$B$3,Qualification_Log!$B$5:$B$304,"&lt;="&amp;$B$4)+COUNTIFS(Qualification_Log!$C$5:$C$304,$A17,Qualification_Log!$G$5:$G$304,"Decertification",Qualification_Log!$O$5:$O$304,"&lt;&gt;",Qualification_Log!$B$5:$B$304,"&gt;="&amp;$B$3,Qualification_Log!$B$5:$B$304,"&lt;="&amp;$B$4))</f>
        <v/>
      </c>
      <c r="G17" s="32" t="str">
        <f aca="false">IF($A17="","",COUNTIFS(Qualification_Log!$C$5:$C$304,$A17,Qualification_Log!$O$5:$O$304,"Critical",Qualification_Log!$B$5:$B$304,"&gt;="&amp;$B$3,Qualification_Log!$B$5:$B$304,"&lt;="&amp;$B$4))</f>
        <v/>
      </c>
      <c r="H17" s="33" t="str">
        <f aca="false">IF($A17="","",SUMIFS(Qualification_Log!$N$5:$N$304,Qualification_Log!$C$5:$C$304,$A17,Qualification_Log!$B$5:$B$304,"&gt;="&amp;$B$3,Qualification_Log!$B$5:$B$304,"&lt;="&amp;$B$4))</f>
        <v/>
      </c>
      <c r="I17" s="32" t="str">
        <f aca="false">IF($A17="","",COUNTIFS(Recognition_Log!$C$5:$C$304,$A17,Recognition_Log!$N$5:$N$304,"Approved",Recognition_Log!$O$5:$O$304,"&gt;="&amp;$B$3,Recognition_Log!$O$5:$O$304,"&lt;="&amp;$B$4))</f>
        <v/>
      </c>
      <c r="J17" s="32" t="str">
        <f aca="false">IF($A17="","",SUMIFS(Recognition_Log!$Q$5:$Q$304,Recognition_Log!$C$5:$C$304,$A17,Recognition_Log!$O$5:$O$304,"&gt;="&amp;$B$3,Recognition_Log!$O$5:$O$304,"&lt;="&amp;$B$4))</f>
        <v/>
      </c>
      <c r="K17" s="32" t="str">
        <f aca="false">IF($A17="","",SUMIFS(Corrective_Action_Log!$T$5:$T$304,Corrective_Action_Log!$C$5:$C$304,$A17,Corrective_Action_Log!$N$5:$N$304,"&gt;="&amp;$B$3,Corrective_Action_Log!$N$5:$N$304,"&lt;="&amp;$B$4))</f>
        <v/>
      </c>
      <c r="L17" s="32" t="str">
        <f aca="false">IF($A17="","",J17-K17)</f>
        <v/>
      </c>
      <c r="M17" s="34" t="str">
        <f aca="false">IF($A17="","",IF(OR(G17&gt;0,E17&gt;0),"Under Review",IF(L17&gt;=Reference_Data!$AL$7,"Exemplary",IF(L17&gt;=Reference_Data!$AL$8,"Commendable",IF(L17&gt;=Reference_Data!$AL$9,"Meets Standard","Needs Improvement")))))</f>
        <v/>
      </c>
      <c r="N17" s="34" t="str">
        <f aca="false">IF($A17="","",IF(OR(G17&gt;0,K17&gt;=Reference_Data!$AL$10),"Ineligible","Eligible"))</f>
        <v/>
      </c>
      <c r="O17" s="32" t="str">
        <f aca="false">IF($A17="","",RANK(L17,$L$7:$L$106))</f>
        <v/>
      </c>
    </row>
    <row r="18" customFormat="false" ht="15" hidden="false" customHeight="false" outlineLevel="0" collapsed="false">
      <c r="A18" s="31" t="str">
        <f aca="false">IF(Employee_Master!A16="","",Employee_Master!A16)</f>
        <v/>
      </c>
      <c r="B18" s="31" t="str">
        <f aca="false">IF($A18="","",Employee_Master!B16)</f>
        <v/>
      </c>
      <c r="C18" s="31" t="str">
        <f aca="false">IF($A18="","",Employee_Master!C16)</f>
        <v/>
      </c>
      <c r="D18" s="32" t="str">
        <f aca="false">IF($A18="","",COUNTIFS(Qualification_Log!$C$5:$C$304,$A18,Qualification_Log!$U$5:$U$304,"Active"))</f>
        <v/>
      </c>
      <c r="E18" s="32" t="str">
        <f aca="false">IF($A18="","",COUNTIFS(Qualification_Log!$C$5:$C$304,$A18,Qualification_Log!$Q$5:$Q$304,"Yes",Qualification_Log!$R$5:$R$304,"&gt;="&amp;$B$3,Qualification_Log!$R$5:$R$304,"&lt;="&amp;$B$4))</f>
        <v/>
      </c>
      <c r="F18" s="32" t="str">
        <f aca="false">IF($A18="","",COUNTIFS(Qualification_Log!$C$5:$C$304,$A18,Qualification_Log!$G$5:$G$304,"Quality Incident",Qualification_Log!$B$5:$B$304,"&gt;="&amp;$B$3,Qualification_Log!$B$5:$B$304,"&lt;="&amp;$B$4)+COUNTIFS(Qualification_Log!$C$5:$C$304,$A18,Qualification_Log!$G$5:$G$304,"Decertification",Qualification_Log!$O$5:$O$304,"&lt;&gt;",Qualification_Log!$B$5:$B$304,"&gt;="&amp;$B$3,Qualification_Log!$B$5:$B$304,"&lt;="&amp;$B$4))</f>
        <v/>
      </c>
      <c r="G18" s="32" t="str">
        <f aca="false">IF($A18="","",COUNTIFS(Qualification_Log!$C$5:$C$304,$A18,Qualification_Log!$O$5:$O$304,"Critical",Qualification_Log!$B$5:$B$304,"&gt;="&amp;$B$3,Qualification_Log!$B$5:$B$304,"&lt;="&amp;$B$4))</f>
        <v/>
      </c>
      <c r="H18" s="33" t="str">
        <f aca="false">IF($A18="","",SUMIFS(Qualification_Log!$N$5:$N$304,Qualification_Log!$C$5:$C$304,$A18,Qualification_Log!$B$5:$B$304,"&gt;="&amp;$B$3,Qualification_Log!$B$5:$B$304,"&lt;="&amp;$B$4))</f>
        <v/>
      </c>
      <c r="I18" s="32" t="str">
        <f aca="false">IF($A18="","",COUNTIFS(Recognition_Log!$C$5:$C$304,$A18,Recognition_Log!$N$5:$N$304,"Approved",Recognition_Log!$O$5:$O$304,"&gt;="&amp;$B$3,Recognition_Log!$O$5:$O$304,"&lt;="&amp;$B$4))</f>
        <v/>
      </c>
      <c r="J18" s="32" t="str">
        <f aca="false">IF($A18="","",SUMIFS(Recognition_Log!$Q$5:$Q$304,Recognition_Log!$C$5:$C$304,$A18,Recognition_Log!$O$5:$O$304,"&gt;="&amp;$B$3,Recognition_Log!$O$5:$O$304,"&lt;="&amp;$B$4))</f>
        <v/>
      </c>
      <c r="K18" s="32" t="str">
        <f aca="false">IF($A18="","",SUMIFS(Corrective_Action_Log!$T$5:$T$304,Corrective_Action_Log!$C$5:$C$304,$A18,Corrective_Action_Log!$N$5:$N$304,"&gt;="&amp;$B$3,Corrective_Action_Log!$N$5:$N$304,"&lt;="&amp;$B$4))</f>
        <v/>
      </c>
      <c r="L18" s="32" t="str">
        <f aca="false">IF($A18="","",J18-K18)</f>
        <v/>
      </c>
      <c r="M18" s="34" t="str">
        <f aca="false">IF($A18="","",IF(OR(G18&gt;0,E18&gt;0),"Under Review",IF(L18&gt;=Reference_Data!$AL$7,"Exemplary",IF(L18&gt;=Reference_Data!$AL$8,"Commendable",IF(L18&gt;=Reference_Data!$AL$9,"Meets Standard","Needs Improvement")))))</f>
        <v/>
      </c>
      <c r="N18" s="34" t="str">
        <f aca="false">IF($A18="","",IF(OR(G18&gt;0,K18&gt;=Reference_Data!$AL$10),"Ineligible","Eligible"))</f>
        <v/>
      </c>
      <c r="O18" s="32" t="str">
        <f aca="false">IF($A18="","",RANK(L18,$L$7:$L$106))</f>
        <v/>
      </c>
    </row>
    <row r="19" customFormat="false" ht="15" hidden="false" customHeight="false" outlineLevel="0" collapsed="false">
      <c r="A19" s="31" t="str">
        <f aca="false">IF(Employee_Master!A17="","",Employee_Master!A17)</f>
        <v/>
      </c>
      <c r="B19" s="31" t="str">
        <f aca="false">IF($A19="","",Employee_Master!B17)</f>
        <v/>
      </c>
      <c r="C19" s="31" t="str">
        <f aca="false">IF($A19="","",Employee_Master!C17)</f>
        <v/>
      </c>
      <c r="D19" s="32" t="str">
        <f aca="false">IF($A19="","",COUNTIFS(Qualification_Log!$C$5:$C$304,$A19,Qualification_Log!$U$5:$U$304,"Active"))</f>
        <v/>
      </c>
      <c r="E19" s="32" t="str">
        <f aca="false">IF($A19="","",COUNTIFS(Qualification_Log!$C$5:$C$304,$A19,Qualification_Log!$Q$5:$Q$304,"Yes",Qualification_Log!$R$5:$R$304,"&gt;="&amp;$B$3,Qualification_Log!$R$5:$R$304,"&lt;="&amp;$B$4))</f>
        <v/>
      </c>
      <c r="F19" s="32" t="str">
        <f aca="false">IF($A19="","",COUNTIFS(Qualification_Log!$C$5:$C$304,$A19,Qualification_Log!$G$5:$G$304,"Quality Incident",Qualification_Log!$B$5:$B$304,"&gt;="&amp;$B$3,Qualification_Log!$B$5:$B$304,"&lt;="&amp;$B$4)+COUNTIFS(Qualification_Log!$C$5:$C$304,$A19,Qualification_Log!$G$5:$G$304,"Decertification",Qualification_Log!$O$5:$O$304,"&lt;&gt;",Qualification_Log!$B$5:$B$304,"&gt;="&amp;$B$3,Qualification_Log!$B$5:$B$304,"&lt;="&amp;$B$4))</f>
        <v/>
      </c>
      <c r="G19" s="32" t="str">
        <f aca="false">IF($A19="","",COUNTIFS(Qualification_Log!$C$5:$C$304,$A19,Qualification_Log!$O$5:$O$304,"Critical",Qualification_Log!$B$5:$B$304,"&gt;="&amp;$B$3,Qualification_Log!$B$5:$B$304,"&lt;="&amp;$B$4))</f>
        <v/>
      </c>
      <c r="H19" s="33" t="str">
        <f aca="false">IF($A19="","",SUMIFS(Qualification_Log!$N$5:$N$304,Qualification_Log!$C$5:$C$304,$A19,Qualification_Log!$B$5:$B$304,"&gt;="&amp;$B$3,Qualification_Log!$B$5:$B$304,"&lt;="&amp;$B$4))</f>
        <v/>
      </c>
      <c r="I19" s="32" t="str">
        <f aca="false">IF($A19="","",COUNTIFS(Recognition_Log!$C$5:$C$304,$A19,Recognition_Log!$N$5:$N$304,"Approved",Recognition_Log!$O$5:$O$304,"&gt;="&amp;$B$3,Recognition_Log!$O$5:$O$304,"&lt;="&amp;$B$4))</f>
        <v/>
      </c>
      <c r="J19" s="32" t="str">
        <f aca="false">IF($A19="","",SUMIFS(Recognition_Log!$Q$5:$Q$304,Recognition_Log!$C$5:$C$304,$A19,Recognition_Log!$O$5:$O$304,"&gt;="&amp;$B$3,Recognition_Log!$O$5:$O$304,"&lt;="&amp;$B$4))</f>
        <v/>
      </c>
      <c r="K19" s="32" t="str">
        <f aca="false">IF($A19="","",SUMIFS(Corrective_Action_Log!$T$5:$T$304,Corrective_Action_Log!$C$5:$C$304,$A19,Corrective_Action_Log!$N$5:$N$304,"&gt;="&amp;$B$3,Corrective_Action_Log!$N$5:$N$304,"&lt;="&amp;$B$4))</f>
        <v/>
      </c>
      <c r="L19" s="32" t="str">
        <f aca="false">IF($A19="","",J19-K19)</f>
        <v/>
      </c>
      <c r="M19" s="34" t="str">
        <f aca="false">IF($A19="","",IF(OR(G19&gt;0,E19&gt;0),"Under Review",IF(L19&gt;=Reference_Data!$AL$7,"Exemplary",IF(L19&gt;=Reference_Data!$AL$8,"Commendable",IF(L19&gt;=Reference_Data!$AL$9,"Meets Standard","Needs Improvement")))))</f>
        <v/>
      </c>
      <c r="N19" s="34" t="str">
        <f aca="false">IF($A19="","",IF(OR(G19&gt;0,K19&gt;=Reference_Data!$AL$10),"Ineligible","Eligible"))</f>
        <v/>
      </c>
      <c r="O19" s="32" t="str">
        <f aca="false">IF($A19="","",RANK(L19,$L$7:$L$106))</f>
        <v/>
      </c>
    </row>
    <row r="20" customFormat="false" ht="15" hidden="false" customHeight="false" outlineLevel="0" collapsed="false">
      <c r="A20" s="31" t="str">
        <f aca="false">IF(Employee_Master!A18="","",Employee_Master!A18)</f>
        <v/>
      </c>
      <c r="B20" s="31" t="str">
        <f aca="false">IF($A20="","",Employee_Master!B18)</f>
        <v/>
      </c>
      <c r="C20" s="31" t="str">
        <f aca="false">IF($A20="","",Employee_Master!C18)</f>
        <v/>
      </c>
      <c r="D20" s="32" t="str">
        <f aca="false">IF($A20="","",COUNTIFS(Qualification_Log!$C$5:$C$304,$A20,Qualification_Log!$U$5:$U$304,"Active"))</f>
        <v/>
      </c>
      <c r="E20" s="32" t="str">
        <f aca="false">IF($A20="","",COUNTIFS(Qualification_Log!$C$5:$C$304,$A20,Qualification_Log!$Q$5:$Q$304,"Yes",Qualification_Log!$R$5:$R$304,"&gt;="&amp;$B$3,Qualification_Log!$R$5:$R$304,"&lt;="&amp;$B$4))</f>
        <v/>
      </c>
      <c r="F20" s="32" t="str">
        <f aca="false">IF($A20="","",COUNTIFS(Qualification_Log!$C$5:$C$304,$A20,Qualification_Log!$G$5:$G$304,"Quality Incident",Qualification_Log!$B$5:$B$304,"&gt;="&amp;$B$3,Qualification_Log!$B$5:$B$304,"&lt;="&amp;$B$4)+COUNTIFS(Qualification_Log!$C$5:$C$304,$A20,Qualification_Log!$G$5:$G$304,"Decertification",Qualification_Log!$O$5:$O$304,"&lt;&gt;",Qualification_Log!$B$5:$B$304,"&gt;="&amp;$B$3,Qualification_Log!$B$5:$B$304,"&lt;="&amp;$B$4))</f>
        <v/>
      </c>
      <c r="G20" s="32" t="str">
        <f aca="false">IF($A20="","",COUNTIFS(Qualification_Log!$C$5:$C$304,$A20,Qualification_Log!$O$5:$O$304,"Critical",Qualification_Log!$B$5:$B$304,"&gt;="&amp;$B$3,Qualification_Log!$B$5:$B$304,"&lt;="&amp;$B$4))</f>
        <v/>
      </c>
      <c r="H20" s="33" t="str">
        <f aca="false">IF($A20="","",SUMIFS(Qualification_Log!$N$5:$N$304,Qualification_Log!$C$5:$C$304,$A20,Qualification_Log!$B$5:$B$304,"&gt;="&amp;$B$3,Qualification_Log!$B$5:$B$304,"&lt;="&amp;$B$4))</f>
        <v/>
      </c>
      <c r="I20" s="32" t="str">
        <f aca="false">IF($A20="","",COUNTIFS(Recognition_Log!$C$5:$C$304,$A20,Recognition_Log!$N$5:$N$304,"Approved",Recognition_Log!$O$5:$O$304,"&gt;="&amp;$B$3,Recognition_Log!$O$5:$O$304,"&lt;="&amp;$B$4))</f>
        <v/>
      </c>
      <c r="J20" s="32" t="str">
        <f aca="false">IF($A20="","",SUMIFS(Recognition_Log!$Q$5:$Q$304,Recognition_Log!$C$5:$C$304,$A20,Recognition_Log!$O$5:$O$304,"&gt;="&amp;$B$3,Recognition_Log!$O$5:$O$304,"&lt;="&amp;$B$4))</f>
        <v/>
      </c>
      <c r="K20" s="32" t="str">
        <f aca="false">IF($A20="","",SUMIFS(Corrective_Action_Log!$T$5:$T$304,Corrective_Action_Log!$C$5:$C$304,$A20,Corrective_Action_Log!$N$5:$N$304,"&gt;="&amp;$B$3,Corrective_Action_Log!$N$5:$N$304,"&lt;="&amp;$B$4))</f>
        <v/>
      </c>
      <c r="L20" s="32" t="str">
        <f aca="false">IF($A20="","",J20-K20)</f>
        <v/>
      </c>
      <c r="M20" s="34" t="str">
        <f aca="false">IF($A20="","",IF(OR(G20&gt;0,E20&gt;0),"Under Review",IF(L20&gt;=Reference_Data!$AL$7,"Exemplary",IF(L20&gt;=Reference_Data!$AL$8,"Commendable",IF(L20&gt;=Reference_Data!$AL$9,"Meets Standard","Needs Improvement")))))</f>
        <v/>
      </c>
      <c r="N20" s="34" t="str">
        <f aca="false">IF($A20="","",IF(OR(G20&gt;0,K20&gt;=Reference_Data!$AL$10),"Ineligible","Eligible"))</f>
        <v/>
      </c>
      <c r="O20" s="32" t="str">
        <f aca="false">IF($A20="","",RANK(L20,$L$7:$L$106))</f>
        <v/>
      </c>
    </row>
    <row r="21" customFormat="false" ht="15" hidden="false" customHeight="false" outlineLevel="0" collapsed="false">
      <c r="A21" s="31" t="str">
        <f aca="false">IF(Employee_Master!A19="","",Employee_Master!A19)</f>
        <v/>
      </c>
      <c r="B21" s="31" t="str">
        <f aca="false">IF($A21="","",Employee_Master!B19)</f>
        <v/>
      </c>
      <c r="C21" s="31" t="str">
        <f aca="false">IF($A21="","",Employee_Master!C19)</f>
        <v/>
      </c>
      <c r="D21" s="32" t="str">
        <f aca="false">IF($A21="","",COUNTIFS(Qualification_Log!$C$5:$C$304,$A21,Qualification_Log!$U$5:$U$304,"Active"))</f>
        <v/>
      </c>
      <c r="E21" s="32" t="str">
        <f aca="false">IF($A21="","",COUNTIFS(Qualification_Log!$C$5:$C$304,$A21,Qualification_Log!$Q$5:$Q$304,"Yes",Qualification_Log!$R$5:$R$304,"&gt;="&amp;$B$3,Qualification_Log!$R$5:$R$304,"&lt;="&amp;$B$4))</f>
        <v/>
      </c>
      <c r="F21" s="32" t="str">
        <f aca="false">IF($A21="","",COUNTIFS(Qualification_Log!$C$5:$C$304,$A21,Qualification_Log!$G$5:$G$304,"Quality Incident",Qualification_Log!$B$5:$B$304,"&gt;="&amp;$B$3,Qualification_Log!$B$5:$B$304,"&lt;="&amp;$B$4)+COUNTIFS(Qualification_Log!$C$5:$C$304,$A21,Qualification_Log!$G$5:$G$304,"Decertification",Qualification_Log!$O$5:$O$304,"&lt;&gt;",Qualification_Log!$B$5:$B$304,"&gt;="&amp;$B$3,Qualification_Log!$B$5:$B$304,"&lt;="&amp;$B$4))</f>
        <v/>
      </c>
      <c r="G21" s="32" t="str">
        <f aca="false">IF($A21="","",COUNTIFS(Qualification_Log!$C$5:$C$304,$A21,Qualification_Log!$O$5:$O$304,"Critical",Qualification_Log!$B$5:$B$304,"&gt;="&amp;$B$3,Qualification_Log!$B$5:$B$304,"&lt;="&amp;$B$4))</f>
        <v/>
      </c>
      <c r="H21" s="33" t="str">
        <f aca="false">IF($A21="","",SUMIFS(Qualification_Log!$N$5:$N$304,Qualification_Log!$C$5:$C$304,$A21,Qualification_Log!$B$5:$B$304,"&gt;="&amp;$B$3,Qualification_Log!$B$5:$B$304,"&lt;="&amp;$B$4))</f>
        <v/>
      </c>
      <c r="I21" s="32" t="str">
        <f aca="false">IF($A21="","",COUNTIFS(Recognition_Log!$C$5:$C$304,$A21,Recognition_Log!$N$5:$N$304,"Approved",Recognition_Log!$O$5:$O$304,"&gt;="&amp;$B$3,Recognition_Log!$O$5:$O$304,"&lt;="&amp;$B$4))</f>
        <v/>
      </c>
      <c r="J21" s="32" t="str">
        <f aca="false">IF($A21="","",SUMIFS(Recognition_Log!$Q$5:$Q$304,Recognition_Log!$C$5:$C$304,$A21,Recognition_Log!$O$5:$O$304,"&gt;="&amp;$B$3,Recognition_Log!$O$5:$O$304,"&lt;="&amp;$B$4))</f>
        <v/>
      </c>
      <c r="K21" s="32" t="str">
        <f aca="false">IF($A21="","",SUMIFS(Corrective_Action_Log!$T$5:$T$304,Corrective_Action_Log!$C$5:$C$304,$A21,Corrective_Action_Log!$N$5:$N$304,"&gt;="&amp;$B$3,Corrective_Action_Log!$N$5:$N$304,"&lt;="&amp;$B$4))</f>
        <v/>
      </c>
      <c r="L21" s="32" t="str">
        <f aca="false">IF($A21="","",J21-K21)</f>
        <v/>
      </c>
      <c r="M21" s="34" t="str">
        <f aca="false">IF($A21="","",IF(OR(G21&gt;0,E21&gt;0),"Under Review",IF(L21&gt;=Reference_Data!$AL$7,"Exemplary",IF(L21&gt;=Reference_Data!$AL$8,"Commendable",IF(L21&gt;=Reference_Data!$AL$9,"Meets Standard","Needs Improvement")))))</f>
        <v/>
      </c>
      <c r="N21" s="34" t="str">
        <f aca="false">IF($A21="","",IF(OR(G21&gt;0,K21&gt;=Reference_Data!$AL$10),"Ineligible","Eligible"))</f>
        <v/>
      </c>
      <c r="O21" s="32" t="str">
        <f aca="false">IF($A21="","",RANK(L21,$L$7:$L$106))</f>
        <v/>
      </c>
    </row>
    <row r="22" customFormat="false" ht="15" hidden="false" customHeight="false" outlineLevel="0" collapsed="false">
      <c r="A22" s="31" t="str">
        <f aca="false">IF(Employee_Master!A20="","",Employee_Master!A20)</f>
        <v/>
      </c>
      <c r="B22" s="31" t="str">
        <f aca="false">IF($A22="","",Employee_Master!B20)</f>
        <v/>
      </c>
      <c r="C22" s="31" t="str">
        <f aca="false">IF($A22="","",Employee_Master!C20)</f>
        <v/>
      </c>
      <c r="D22" s="32" t="str">
        <f aca="false">IF($A22="","",COUNTIFS(Qualification_Log!$C$5:$C$304,$A22,Qualification_Log!$U$5:$U$304,"Active"))</f>
        <v/>
      </c>
      <c r="E22" s="32" t="str">
        <f aca="false">IF($A22="","",COUNTIFS(Qualification_Log!$C$5:$C$304,$A22,Qualification_Log!$Q$5:$Q$304,"Yes",Qualification_Log!$R$5:$R$304,"&gt;="&amp;$B$3,Qualification_Log!$R$5:$R$304,"&lt;="&amp;$B$4))</f>
        <v/>
      </c>
      <c r="F22" s="32" t="str">
        <f aca="false">IF($A22="","",COUNTIFS(Qualification_Log!$C$5:$C$304,$A22,Qualification_Log!$G$5:$G$304,"Quality Incident",Qualification_Log!$B$5:$B$304,"&gt;="&amp;$B$3,Qualification_Log!$B$5:$B$304,"&lt;="&amp;$B$4)+COUNTIFS(Qualification_Log!$C$5:$C$304,$A22,Qualification_Log!$G$5:$G$304,"Decertification",Qualification_Log!$O$5:$O$304,"&lt;&gt;",Qualification_Log!$B$5:$B$304,"&gt;="&amp;$B$3,Qualification_Log!$B$5:$B$304,"&lt;="&amp;$B$4))</f>
        <v/>
      </c>
      <c r="G22" s="32" t="str">
        <f aca="false">IF($A22="","",COUNTIFS(Qualification_Log!$C$5:$C$304,$A22,Qualification_Log!$O$5:$O$304,"Critical",Qualification_Log!$B$5:$B$304,"&gt;="&amp;$B$3,Qualification_Log!$B$5:$B$304,"&lt;="&amp;$B$4))</f>
        <v/>
      </c>
      <c r="H22" s="33" t="str">
        <f aca="false">IF($A22="","",SUMIFS(Qualification_Log!$N$5:$N$304,Qualification_Log!$C$5:$C$304,$A22,Qualification_Log!$B$5:$B$304,"&gt;="&amp;$B$3,Qualification_Log!$B$5:$B$304,"&lt;="&amp;$B$4))</f>
        <v/>
      </c>
      <c r="I22" s="32" t="str">
        <f aca="false">IF($A22="","",COUNTIFS(Recognition_Log!$C$5:$C$304,$A22,Recognition_Log!$N$5:$N$304,"Approved",Recognition_Log!$O$5:$O$304,"&gt;="&amp;$B$3,Recognition_Log!$O$5:$O$304,"&lt;="&amp;$B$4))</f>
        <v/>
      </c>
      <c r="J22" s="32" t="str">
        <f aca="false">IF($A22="","",SUMIFS(Recognition_Log!$Q$5:$Q$304,Recognition_Log!$C$5:$C$304,$A22,Recognition_Log!$O$5:$O$304,"&gt;="&amp;$B$3,Recognition_Log!$O$5:$O$304,"&lt;="&amp;$B$4))</f>
        <v/>
      </c>
      <c r="K22" s="32" t="str">
        <f aca="false">IF($A22="","",SUMIFS(Corrective_Action_Log!$T$5:$T$304,Corrective_Action_Log!$C$5:$C$304,$A22,Corrective_Action_Log!$N$5:$N$304,"&gt;="&amp;$B$3,Corrective_Action_Log!$N$5:$N$304,"&lt;="&amp;$B$4))</f>
        <v/>
      </c>
      <c r="L22" s="32" t="str">
        <f aca="false">IF($A22="","",J22-K22)</f>
        <v/>
      </c>
      <c r="M22" s="34" t="str">
        <f aca="false">IF($A22="","",IF(OR(G22&gt;0,E22&gt;0),"Under Review",IF(L22&gt;=Reference_Data!$AL$7,"Exemplary",IF(L22&gt;=Reference_Data!$AL$8,"Commendable",IF(L22&gt;=Reference_Data!$AL$9,"Meets Standard","Needs Improvement")))))</f>
        <v/>
      </c>
      <c r="N22" s="34" t="str">
        <f aca="false">IF($A22="","",IF(OR(G22&gt;0,K22&gt;=Reference_Data!$AL$10),"Ineligible","Eligible"))</f>
        <v/>
      </c>
      <c r="O22" s="32" t="str">
        <f aca="false">IF($A22="","",RANK(L22,$L$7:$L$106))</f>
        <v/>
      </c>
    </row>
    <row r="23" customFormat="false" ht="15" hidden="false" customHeight="false" outlineLevel="0" collapsed="false">
      <c r="A23" s="31" t="str">
        <f aca="false">IF(Employee_Master!A21="","",Employee_Master!A21)</f>
        <v/>
      </c>
      <c r="B23" s="31" t="str">
        <f aca="false">IF($A23="","",Employee_Master!B21)</f>
        <v/>
      </c>
      <c r="C23" s="31" t="str">
        <f aca="false">IF($A23="","",Employee_Master!C21)</f>
        <v/>
      </c>
      <c r="D23" s="32" t="str">
        <f aca="false">IF($A23="","",COUNTIFS(Qualification_Log!$C$5:$C$304,$A23,Qualification_Log!$U$5:$U$304,"Active"))</f>
        <v/>
      </c>
      <c r="E23" s="32" t="str">
        <f aca="false">IF($A23="","",COUNTIFS(Qualification_Log!$C$5:$C$304,$A23,Qualification_Log!$Q$5:$Q$304,"Yes",Qualification_Log!$R$5:$R$304,"&gt;="&amp;$B$3,Qualification_Log!$R$5:$R$304,"&lt;="&amp;$B$4))</f>
        <v/>
      </c>
      <c r="F23" s="32" t="str">
        <f aca="false">IF($A23="","",COUNTIFS(Qualification_Log!$C$5:$C$304,$A23,Qualification_Log!$G$5:$G$304,"Quality Incident",Qualification_Log!$B$5:$B$304,"&gt;="&amp;$B$3,Qualification_Log!$B$5:$B$304,"&lt;="&amp;$B$4)+COUNTIFS(Qualification_Log!$C$5:$C$304,$A23,Qualification_Log!$G$5:$G$304,"Decertification",Qualification_Log!$O$5:$O$304,"&lt;&gt;",Qualification_Log!$B$5:$B$304,"&gt;="&amp;$B$3,Qualification_Log!$B$5:$B$304,"&lt;="&amp;$B$4))</f>
        <v/>
      </c>
      <c r="G23" s="32" t="str">
        <f aca="false">IF($A23="","",COUNTIFS(Qualification_Log!$C$5:$C$304,$A23,Qualification_Log!$O$5:$O$304,"Critical",Qualification_Log!$B$5:$B$304,"&gt;="&amp;$B$3,Qualification_Log!$B$5:$B$304,"&lt;="&amp;$B$4))</f>
        <v/>
      </c>
      <c r="H23" s="33" t="str">
        <f aca="false">IF($A23="","",SUMIFS(Qualification_Log!$N$5:$N$304,Qualification_Log!$C$5:$C$304,$A23,Qualification_Log!$B$5:$B$304,"&gt;="&amp;$B$3,Qualification_Log!$B$5:$B$304,"&lt;="&amp;$B$4))</f>
        <v/>
      </c>
      <c r="I23" s="32" t="str">
        <f aca="false">IF($A23="","",COUNTIFS(Recognition_Log!$C$5:$C$304,$A23,Recognition_Log!$N$5:$N$304,"Approved",Recognition_Log!$O$5:$O$304,"&gt;="&amp;$B$3,Recognition_Log!$O$5:$O$304,"&lt;="&amp;$B$4))</f>
        <v/>
      </c>
      <c r="J23" s="32" t="str">
        <f aca="false">IF($A23="","",SUMIFS(Recognition_Log!$Q$5:$Q$304,Recognition_Log!$C$5:$C$304,$A23,Recognition_Log!$O$5:$O$304,"&gt;="&amp;$B$3,Recognition_Log!$O$5:$O$304,"&lt;="&amp;$B$4))</f>
        <v/>
      </c>
      <c r="K23" s="32" t="str">
        <f aca="false">IF($A23="","",SUMIFS(Corrective_Action_Log!$T$5:$T$304,Corrective_Action_Log!$C$5:$C$304,$A23,Corrective_Action_Log!$N$5:$N$304,"&gt;="&amp;$B$3,Corrective_Action_Log!$N$5:$N$304,"&lt;="&amp;$B$4))</f>
        <v/>
      </c>
      <c r="L23" s="32" t="str">
        <f aca="false">IF($A23="","",J23-K23)</f>
        <v/>
      </c>
      <c r="M23" s="34" t="str">
        <f aca="false">IF($A23="","",IF(OR(G23&gt;0,E23&gt;0),"Under Review",IF(L23&gt;=Reference_Data!$AL$7,"Exemplary",IF(L23&gt;=Reference_Data!$AL$8,"Commendable",IF(L23&gt;=Reference_Data!$AL$9,"Meets Standard","Needs Improvement")))))</f>
        <v/>
      </c>
      <c r="N23" s="34" t="str">
        <f aca="false">IF($A23="","",IF(OR(G23&gt;0,K23&gt;=Reference_Data!$AL$10),"Ineligible","Eligible"))</f>
        <v/>
      </c>
      <c r="O23" s="32" t="str">
        <f aca="false">IF($A23="","",RANK(L23,$L$7:$L$106))</f>
        <v/>
      </c>
    </row>
    <row r="24" customFormat="false" ht="15" hidden="false" customHeight="false" outlineLevel="0" collapsed="false">
      <c r="A24" s="31" t="str">
        <f aca="false">IF(Employee_Master!A22="","",Employee_Master!A22)</f>
        <v/>
      </c>
      <c r="B24" s="31" t="str">
        <f aca="false">IF($A24="","",Employee_Master!B22)</f>
        <v/>
      </c>
      <c r="C24" s="31" t="str">
        <f aca="false">IF($A24="","",Employee_Master!C22)</f>
        <v/>
      </c>
      <c r="D24" s="32" t="str">
        <f aca="false">IF($A24="","",COUNTIFS(Qualification_Log!$C$5:$C$304,$A24,Qualification_Log!$U$5:$U$304,"Active"))</f>
        <v/>
      </c>
      <c r="E24" s="32" t="str">
        <f aca="false">IF($A24="","",COUNTIFS(Qualification_Log!$C$5:$C$304,$A24,Qualification_Log!$Q$5:$Q$304,"Yes",Qualification_Log!$R$5:$R$304,"&gt;="&amp;$B$3,Qualification_Log!$R$5:$R$304,"&lt;="&amp;$B$4))</f>
        <v/>
      </c>
      <c r="F24" s="32" t="str">
        <f aca="false">IF($A24="","",COUNTIFS(Qualification_Log!$C$5:$C$304,$A24,Qualification_Log!$G$5:$G$304,"Quality Incident",Qualification_Log!$B$5:$B$304,"&gt;="&amp;$B$3,Qualification_Log!$B$5:$B$304,"&lt;="&amp;$B$4)+COUNTIFS(Qualification_Log!$C$5:$C$304,$A24,Qualification_Log!$G$5:$G$304,"Decertification",Qualification_Log!$O$5:$O$304,"&lt;&gt;",Qualification_Log!$B$5:$B$304,"&gt;="&amp;$B$3,Qualification_Log!$B$5:$B$304,"&lt;="&amp;$B$4))</f>
        <v/>
      </c>
      <c r="G24" s="32" t="str">
        <f aca="false">IF($A24="","",COUNTIFS(Qualification_Log!$C$5:$C$304,$A24,Qualification_Log!$O$5:$O$304,"Critical",Qualification_Log!$B$5:$B$304,"&gt;="&amp;$B$3,Qualification_Log!$B$5:$B$304,"&lt;="&amp;$B$4))</f>
        <v/>
      </c>
      <c r="H24" s="33" t="str">
        <f aca="false">IF($A24="","",SUMIFS(Qualification_Log!$N$5:$N$304,Qualification_Log!$C$5:$C$304,$A24,Qualification_Log!$B$5:$B$304,"&gt;="&amp;$B$3,Qualification_Log!$B$5:$B$304,"&lt;="&amp;$B$4))</f>
        <v/>
      </c>
      <c r="I24" s="32" t="str">
        <f aca="false">IF($A24="","",COUNTIFS(Recognition_Log!$C$5:$C$304,$A24,Recognition_Log!$N$5:$N$304,"Approved",Recognition_Log!$O$5:$O$304,"&gt;="&amp;$B$3,Recognition_Log!$O$5:$O$304,"&lt;="&amp;$B$4))</f>
        <v/>
      </c>
      <c r="J24" s="32" t="str">
        <f aca="false">IF($A24="","",SUMIFS(Recognition_Log!$Q$5:$Q$304,Recognition_Log!$C$5:$C$304,$A24,Recognition_Log!$O$5:$O$304,"&gt;="&amp;$B$3,Recognition_Log!$O$5:$O$304,"&lt;="&amp;$B$4))</f>
        <v/>
      </c>
      <c r="K24" s="32" t="str">
        <f aca="false">IF($A24="","",SUMIFS(Corrective_Action_Log!$T$5:$T$304,Corrective_Action_Log!$C$5:$C$304,$A24,Corrective_Action_Log!$N$5:$N$304,"&gt;="&amp;$B$3,Corrective_Action_Log!$N$5:$N$304,"&lt;="&amp;$B$4))</f>
        <v/>
      </c>
      <c r="L24" s="32" t="str">
        <f aca="false">IF($A24="","",J24-K24)</f>
        <v/>
      </c>
      <c r="M24" s="34" t="str">
        <f aca="false">IF($A24="","",IF(OR(G24&gt;0,E24&gt;0),"Under Review",IF(L24&gt;=Reference_Data!$AL$7,"Exemplary",IF(L24&gt;=Reference_Data!$AL$8,"Commendable",IF(L24&gt;=Reference_Data!$AL$9,"Meets Standard","Needs Improvement")))))</f>
        <v/>
      </c>
      <c r="N24" s="34" t="str">
        <f aca="false">IF($A24="","",IF(OR(G24&gt;0,K24&gt;=Reference_Data!$AL$10),"Ineligible","Eligible"))</f>
        <v/>
      </c>
      <c r="O24" s="32" t="str">
        <f aca="false">IF($A24="","",RANK(L24,$L$7:$L$106))</f>
        <v/>
      </c>
    </row>
    <row r="25" customFormat="false" ht="15" hidden="false" customHeight="false" outlineLevel="0" collapsed="false">
      <c r="A25" s="31" t="str">
        <f aca="false">IF(Employee_Master!A23="","",Employee_Master!A23)</f>
        <v/>
      </c>
      <c r="B25" s="31" t="str">
        <f aca="false">IF($A25="","",Employee_Master!B23)</f>
        <v/>
      </c>
      <c r="C25" s="31" t="str">
        <f aca="false">IF($A25="","",Employee_Master!C23)</f>
        <v/>
      </c>
      <c r="D25" s="32" t="str">
        <f aca="false">IF($A25="","",COUNTIFS(Qualification_Log!$C$5:$C$304,$A25,Qualification_Log!$U$5:$U$304,"Active"))</f>
        <v/>
      </c>
      <c r="E25" s="32" t="str">
        <f aca="false">IF($A25="","",COUNTIFS(Qualification_Log!$C$5:$C$304,$A25,Qualification_Log!$Q$5:$Q$304,"Yes",Qualification_Log!$R$5:$R$304,"&gt;="&amp;$B$3,Qualification_Log!$R$5:$R$304,"&lt;="&amp;$B$4))</f>
        <v/>
      </c>
      <c r="F25" s="32" t="str">
        <f aca="false">IF($A25="","",COUNTIFS(Qualification_Log!$C$5:$C$304,$A25,Qualification_Log!$G$5:$G$304,"Quality Incident",Qualification_Log!$B$5:$B$304,"&gt;="&amp;$B$3,Qualification_Log!$B$5:$B$304,"&lt;="&amp;$B$4)+COUNTIFS(Qualification_Log!$C$5:$C$304,$A25,Qualification_Log!$G$5:$G$304,"Decertification",Qualification_Log!$O$5:$O$304,"&lt;&gt;",Qualification_Log!$B$5:$B$304,"&gt;="&amp;$B$3,Qualification_Log!$B$5:$B$304,"&lt;="&amp;$B$4))</f>
        <v/>
      </c>
      <c r="G25" s="32" t="str">
        <f aca="false">IF($A25="","",COUNTIFS(Qualification_Log!$C$5:$C$304,$A25,Qualification_Log!$O$5:$O$304,"Critical",Qualification_Log!$B$5:$B$304,"&gt;="&amp;$B$3,Qualification_Log!$B$5:$B$304,"&lt;="&amp;$B$4))</f>
        <v/>
      </c>
      <c r="H25" s="33" t="str">
        <f aca="false">IF($A25="","",SUMIFS(Qualification_Log!$N$5:$N$304,Qualification_Log!$C$5:$C$304,$A25,Qualification_Log!$B$5:$B$304,"&gt;="&amp;$B$3,Qualification_Log!$B$5:$B$304,"&lt;="&amp;$B$4))</f>
        <v/>
      </c>
      <c r="I25" s="32" t="str">
        <f aca="false">IF($A25="","",COUNTIFS(Recognition_Log!$C$5:$C$304,$A25,Recognition_Log!$N$5:$N$304,"Approved",Recognition_Log!$O$5:$O$304,"&gt;="&amp;$B$3,Recognition_Log!$O$5:$O$304,"&lt;="&amp;$B$4))</f>
        <v/>
      </c>
      <c r="J25" s="32" t="str">
        <f aca="false">IF($A25="","",SUMIFS(Recognition_Log!$Q$5:$Q$304,Recognition_Log!$C$5:$C$304,$A25,Recognition_Log!$O$5:$O$304,"&gt;="&amp;$B$3,Recognition_Log!$O$5:$O$304,"&lt;="&amp;$B$4))</f>
        <v/>
      </c>
      <c r="K25" s="32" t="str">
        <f aca="false">IF($A25="","",SUMIFS(Corrective_Action_Log!$T$5:$T$304,Corrective_Action_Log!$C$5:$C$304,$A25,Corrective_Action_Log!$N$5:$N$304,"&gt;="&amp;$B$3,Corrective_Action_Log!$N$5:$N$304,"&lt;="&amp;$B$4))</f>
        <v/>
      </c>
      <c r="L25" s="32" t="str">
        <f aca="false">IF($A25="","",J25-K25)</f>
        <v/>
      </c>
      <c r="M25" s="34" t="str">
        <f aca="false">IF($A25="","",IF(OR(G25&gt;0,E25&gt;0),"Under Review",IF(L25&gt;=Reference_Data!$AL$7,"Exemplary",IF(L25&gt;=Reference_Data!$AL$8,"Commendable",IF(L25&gt;=Reference_Data!$AL$9,"Meets Standard","Needs Improvement")))))</f>
        <v/>
      </c>
      <c r="N25" s="34" t="str">
        <f aca="false">IF($A25="","",IF(OR(G25&gt;0,K25&gt;=Reference_Data!$AL$10),"Ineligible","Eligible"))</f>
        <v/>
      </c>
      <c r="O25" s="32" t="str">
        <f aca="false">IF($A25="","",RANK(L25,$L$7:$L$106))</f>
        <v/>
      </c>
    </row>
    <row r="26" customFormat="false" ht="15" hidden="false" customHeight="false" outlineLevel="0" collapsed="false">
      <c r="A26" s="31" t="str">
        <f aca="false">IF(Employee_Master!A24="","",Employee_Master!A24)</f>
        <v/>
      </c>
      <c r="B26" s="31" t="str">
        <f aca="false">IF($A26="","",Employee_Master!B24)</f>
        <v/>
      </c>
      <c r="C26" s="31" t="str">
        <f aca="false">IF($A26="","",Employee_Master!C24)</f>
        <v/>
      </c>
      <c r="D26" s="32" t="str">
        <f aca="false">IF($A26="","",COUNTIFS(Qualification_Log!$C$5:$C$304,$A26,Qualification_Log!$U$5:$U$304,"Active"))</f>
        <v/>
      </c>
      <c r="E26" s="32" t="str">
        <f aca="false">IF($A26="","",COUNTIFS(Qualification_Log!$C$5:$C$304,$A26,Qualification_Log!$Q$5:$Q$304,"Yes",Qualification_Log!$R$5:$R$304,"&gt;="&amp;$B$3,Qualification_Log!$R$5:$R$304,"&lt;="&amp;$B$4))</f>
        <v/>
      </c>
      <c r="F26" s="32" t="str">
        <f aca="false">IF($A26="","",COUNTIFS(Qualification_Log!$C$5:$C$304,$A26,Qualification_Log!$G$5:$G$304,"Quality Incident",Qualification_Log!$B$5:$B$304,"&gt;="&amp;$B$3,Qualification_Log!$B$5:$B$304,"&lt;="&amp;$B$4)+COUNTIFS(Qualification_Log!$C$5:$C$304,$A26,Qualification_Log!$G$5:$G$304,"Decertification",Qualification_Log!$O$5:$O$304,"&lt;&gt;",Qualification_Log!$B$5:$B$304,"&gt;="&amp;$B$3,Qualification_Log!$B$5:$B$304,"&lt;="&amp;$B$4))</f>
        <v/>
      </c>
      <c r="G26" s="32" t="str">
        <f aca="false">IF($A26="","",COUNTIFS(Qualification_Log!$C$5:$C$304,$A26,Qualification_Log!$O$5:$O$304,"Critical",Qualification_Log!$B$5:$B$304,"&gt;="&amp;$B$3,Qualification_Log!$B$5:$B$304,"&lt;="&amp;$B$4))</f>
        <v/>
      </c>
      <c r="H26" s="33" t="str">
        <f aca="false">IF($A26="","",SUMIFS(Qualification_Log!$N$5:$N$304,Qualification_Log!$C$5:$C$304,$A26,Qualification_Log!$B$5:$B$304,"&gt;="&amp;$B$3,Qualification_Log!$B$5:$B$304,"&lt;="&amp;$B$4))</f>
        <v/>
      </c>
      <c r="I26" s="32" t="str">
        <f aca="false">IF($A26="","",COUNTIFS(Recognition_Log!$C$5:$C$304,$A26,Recognition_Log!$N$5:$N$304,"Approved",Recognition_Log!$O$5:$O$304,"&gt;="&amp;$B$3,Recognition_Log!$O$5:$O$304,"&lt;="&amp;$B$4))</f>
        <v/>
      </c>
      <c r="J26" s="32" t="str">
        <f aca="false">IF($A26="","",SUMIFS(Recognition_Log!$Q$5:$Q$304,Recognition_Log!$C$5:$C$304,$A26,Recognition_Log!$O$5:$O$304,"&gt;="&amp;$B$3,Recognition_Log!$O$5:$O$304,"&lt;="&amp;$B$4))</f>
        <v/>
      </c>
      <c r="K26" s="32" t="str">
        <f aca="false">IF($A26="","",SUMIFS(Corrective_Action_Log!$T$5:$T$304,Corrective_Action_Log!$C$5:$C$304,$A26,Corrective_Action_Log!$N$5:$N$304,"&gt;="&amp;$B$3,Corrective_Action_Log!$N$5:$N$304,"&lt;="&amp;$B$4))</f>
        <v/>
      </c>
      <c r="L26" s="32" t="str">
        <f aca="false">IF($A26="","",J26-K26)</f>
        <v/>
      </c>
      <c r="M26" s="34" t="str">
        <f aca="false">IF($A26="","",IF(OR(G26&gt;0,E26&gt;0),"Under Review",IF(L26&gt;=Reference_Data!$AL$7,"Exemplary",IF(L26&gt;=Reference_Data!$AL$8,"Commendable",IF(L26&gt;=Reference_Data!$AL$9,"Meets Standard","Needs Improvement")))))</f>
        <v/>
      </c>
      <c r="N26" s="34" t="str">
        <f aca="false">IF($A26="","",IF(OR(G26&gt;0,K26&gt;=Reference_Data!$AL$10),"Ineligible","Eligible"))</f>
        <v/>
      </c>
      <c r="O26" s="32" t="str">
        <f aca="false">IF($A26="","",RANK(L26,$L$7:$L$106))</f>
        <v/>
      </c>
    </row>
    <row r="27" customFormat="false" ht="15" hidden="false" customHeight="false" outlineLevel="0" collapsed="false">
      <c r="A27" s="31" t="str">
        <f aca="false">IF(Employee_Master!A25="","",Employee_Master!A25)</f>
        <v/>
      </c>
      <c r="B27" s="31" t="str">
        <f aca="false">IF($A27="","",Employee_Master!B25)</f>
        <v/>
      </c>
      <c r="C27" s="31" t="str">
        <f aca="false">IF($A27="","",Employee_Master!C25)</f>
        <v/>
      </c>
      <c r="D27" s="32" t="str">
        <f aca="false">IF($A27="","",COUNTIFS(Qualification_Log!$C$5:$C$304,$A27,Qualification_Log!$U$5:$U$304,"Active"))</f>
        <v/>
      </c>
      <c r="E27" s="32" t="str">
        <f aca="false">IF($A27="","",COUNTIFS(Qualification_Log!$C$5:$C$304,$A27,Qualification_Log!$Q$5:$Q$304,"Yes",Qualification_Log!$R$5:$R$304,"&gt;="&amp;$B$3,Qualification_Log!$R$5:$R$304,"&lt;="&amp;$B$4))</f>
        <v/>
      </c>
      <c r="F27" s="32" t="str">
        <f aca="false">IF($A27="","",COUNTIFS(Qualification_Log!$C$5:$C$304,$A27,Qualification_Log!$G$5:$G$304,"Quality Incident",Qualification_Log!$B$5:$B$304,"&gt;="&amp;$B$3,Qualification_Log!$B$5:$B$304,"&lt;="&amp;$B$4)+COUNTIFS(Qualification_Log!$C$5:$C$304,$A27,Qualification_Log!$G$5:$G$304,"Decertification",Qualification_Log!$O$5:$O$304,"&lt;&gt;",Qualification_Log!$B$5:$B$304,"&gt;="&amp;$B$3,Qualification_Log!$B$5:$B$304,"&lt;="&amp;$B$4))</f>
        <v/>
      </c>
      <c r="G27" s="32" t="str">
        <f aca="false">IF($A27="","",COUNTIFS(Qualification_Log!$C$5:$C$304,$A27,Qualification_Log!$O$5:$O$304,"Critical",Qualification_Log!$B$5:$B$304,"&gt;="&amp;$B$3,Qualification_Log!$B$5:$B$304,"&lt;="&amp;$B$4))</f>
        <v/>
      </c>
      <c r="H27" s="33" t="str">
        <f aca="false">IF($A27="","",SUMIFS(Qualification_Log!$N$5:$N$304,Qualification_Log!$C$5:$C$304,$A27,Qualification_Log!$B$5:$B$304,"&gt;="&amp;$B$3,Qualification_Log!$B$5:$B$304,"&lt;="&amp;$B$4))</f>
        <v/>
      </c>
      <c r="I27" s="32" t="str">
        <f aca="false">IF($A27="","",COUNTIFS(Recognition_Log!$C$5:$C$304,$A27,Recognition_Log!$N$5:$N$304,"Approved",Recognition_Log!$O$5:$O$304,"&gt;="&amp;$B$3,Recognition_Log!$O$5:$O$304,"&lt;="&amp;$B$4))</f>
        <v/>
      </c>
      <c r="J27" s="32" t="str">
        <f aca="false">IF($A27="","",SUMIFS(Recognition_Log!$Q$5:$Q$304,Recognition_Log!$C$5:$C$304,$A27,Recognition_Log!$O$5:$O$304,"&gt;="&amp;$B$3,Recognition_Log!$O$5:$O$304,"&lt;="&amp;$B$4))</f>
        <v/>
      </c>
      <c r="K27" s="32" t="str">
        <f aca="false">IF($A27="","",SUMIFS(Corrective_Action_Log!$T$5:$T$304,Corrective_Action_Log!$C$5:$C$304,$A27,Corrective_Action_Log!$N$5:$N$304,"&gt;="&amp;$B$3,Corrective_Action_Log!$N$5:$N$304,"&lt;="&amp;$B$4))</f>
        <v/>
      </c>
      <c r="L27" s="32" t="str">
        <f aca="false">IF($A27="","",J27-K27)</f>
        <v/>
      </c>
      <c r="M27" s="34" t="str">
        <f aca="false">IF($A27="","",IF(OR(G27&gt;0,E27&gt;0),"Under Review",IF(L27&gt;=Reference_Data!$AL$7,"Exemplary",IF(L27&gt;=Reference_Data!$AL$8,"Commendable",IF(L27&gt;=Reference_Data!$AL$9,"Meets Standard","Needs Improvement")))))</f>
        <v/>
      </c>
      <c r="N27" s="34" t="str">
        <f aca="false">IF($A27="","",IF(OR(G27&gt;0,K27&gt;=Reference_Data!$AL$10),"Ineligible","Eligible"))</f>
        <v/>
      </c>
      <c r="O27" s="32" t="str">
        <f aca="false">IF($A27="","",RANK(L27,$L$7:$L$106))</f>
        <v/>
      </c>
    </row>
    <row r="28" customFormat="false" ht="15" hidden="false" customHeight="false" outlineLevel="0" collapsed="false">
      <c r="A28" s="31" t="str">
        <f aca="false">IF(Employee_Master!A26="","",Employee_Master!A26)</f>
        <v/>
      </c>
      <c r="B28" s="31" t="str">
        <f aca="false">IF($A28="","",Employee_Master!B26)</f>
        <v/>
      </c>
      <c r="C28" s="31" t="str">
        <f aca="false">IF($A28="","",Employee_Master!C26)</f>
        <v/>
      </c>
      <c r="D28" s="32" t="str">
        <f aca="false">IF($A28="","",COUNTIFS(Qualification_Log!$C$5:$C$304,$A28,Qualification_Log!$U$5:$U$304,"Active"))</f>
        <v/>
      </c>
      <c r="E28" s="32" t="str">
        <f aca="false">IF($A28="","",COUNTIFS(Qualification_Log!$C$5:$C$304,$A28,Qualification_Log!$Q$5:$Q$304,"Yes",Qualification_Log!$R$5:$R$304,"&gt;="&amp;$B$3,Qualification_Log!$R$5:$R$304,"&lt;="&amp;$B$4))</f>
        <v/>
      </c>
      <c r="F28" s="32" t="str">
        <f aca="false">IF($A28="","",COUNTIFS(Qualification_Log!$C$5:$C$304,$A28,Qualification_Log!$G$5:$G$304,"Quality Incident",Qualification_Log!$B$5:$B$304,"&gt;="&amp;$B$3,Qualification_Log!$B$5:$B$304,"&lt;="&amp;$B$4)+COUNTIFS(Qualification_Log!$C$5:$C$304,$A28,Qualification_Log!$G$5:$G$304,"Decertification",Qualification_Log!$O$5:$O$304,"&lt;&gt;",Qualification_Log!$B$5:$B$304,"&gt;="&amp;$B$3,Qualification_Log!$B$5:$B$304,"&lt;="&amp;$B$4))</f>
        <v/>
      </c>
      <c r="G28" s="32" t="str">
        <f aca="false">IF($A28="","",COUNTIFS(Qualification_Log!$C$5:$C$304,$A28,Qualification_Log!$O$5:$O$304,"Critical",Qualification_Log!$B$5:$B$304,"&gt;="&amp;$B$3,Qualification_Log!$B$5:$B$304,"&lt;="&amp;$B$4))</f>
        <v/>
      </c>
      <c r="H28" s="33" t="str">
        <f aca="false">IF($A28="","",SUMIFS(Qualification_Log!$N$5:$N$304,Qualification_Log!$C$5:$C$304,$A28,Qualification_Log!$B$5:$B$304,"&gt;="&amp;$B$3,Qualification_Log!$B$5:$B$304,"&lt;="&amp;$B$4))</f>
        <v/>
      </c>
      <c r="I28" s="32" t="str">
        <f aca="false">IF($A28="","",COUNTIFS(Recognition_Log!$C$5:$C$304,$A28,Recognition_Log!$N$5:$N$304,"Approved",Recognition_Log!$O$5:$O$304,"&gt;="&amp;$B$3,Recognition_Log!$O$5:$O$304,"&lt;="&amp;$B$4))</f>
        <v/>
      </c>
      <c r="J28" s="32" t="str">
        <f aca="false">IF($A28="","",SUMIFS(Recognition_Log!$Q$5:$Q$304,Recognition_Log!$C$5:$C$304,$A28,Recognition_Log!$O$5:$O$304,"&gt;="&amp;$B$3,Recognition_Log!$O$5:$O$304,"&lt;="&amp;$B$4))</f>
        <v/>
      </c>
      <c r="K28" s="32" t="str">
        <f aca="false">IF($A28="","",SUMIFS(Corrective_Action_Log!$T$5:$T$304,Corrective_Action_Log!$C$5:$C$304,$A28,Corrective_Action_Log!$N$5:$N$304,"&gt;="&amp;$B$3,Corrective_Action_Log!$N$5:$N$304,"&lt;="&amp;$B$4))</f>
        <v/>
      </c>
      <c r="L28" s="32" t="str">
        <f aca="false">IF($A28="","",J28-K28)</f>
        <v/>
      </c>
      <c r="M28" s="34" t="str">
        <f aca="false">IF($A28="","",IF(OR(G28&gt;0,E28&gt;0),"Under Review",IF(L28&gt;=Reference_Data!$AL$7,"Exemplary",IF(L28&gt;=Reference_Data!$AL$8,"Commendable",IF(L28&gt;=Reference_Data!$AL$9,"Meets Standard","Needs Improvement")))))</f>
        <v/>
      </c>
      <c r="N28" s="34" t="str">
        <f aca="false">IF($A28="","",IF(OR(G28&gt;0,K28&gt;=Reference_Data!$AL$10),"Ineligible","Eligible"))</f>
        <v/>
      </c>
      <c r="O28" s="32" t="str">
        <f aca="false">IF($A28="","",RANK(L28,$L$7:$L$106))</f>
        <v/>
      </c>
    </row>
    <row r="29" customFormat="false" ht="15" hidden="false" customHeight="false" outlineLevel="0" collapsed="false">
      <c r="A29" s="31" t="str">
        <f aca="false">IF(Employee_Master!A27="","",Employee_Master!A27)</f>
        <v/>
      </c>
      <c r="B29" s="31" t="str">
        <f aca="false">IF($A29="","",Employee_Master!B27)</f>
        <v/>
      </c>
      <c r="C29" s="31" t="str">
        <f aca="false">IF($A29="","",Employee_Master!C27)</f>
        <v/>
      </c>
      <c r="D29" s="32" t="str">
        <f aca="false">IF($A29="","",COUNTIFS(Qualification_Log!$C$5:$C$304,$A29,Qualification_Log!$U$5:$U$304,"Active"))</f>
        <v/>
      </c>
      <c r="E29" s="32" t="str">
        <f aca="false">IF($A29="","",COUNTIFS(Qualification_Log!$C$5:$C$304,$A29,Qualification_Log!$Q$5:$Q$304,"Yes",Qualification_Log!$R$5:$R$304,"&gt;="&amp;$B$3,Qualification_Log!$R$5:$R$304,"&lt;="&amp;$B$4))</f>
        <v/>
      </c>
      <c r="F29" s="32" t="str">
        <f aca="false">IF($A29="","",COUNTIFS(Qualification_Log!$C$5:$C$304,$A29,Qualification_Log!$G$5:$G$304,"Quality Incident",Qualification_Log!$B$5:$B$304,"&gt;="&amp;$B$3,Qualification_Log!$B$5:$B$304,"&lt;="&amp;$B$4)+COUNTIFS(Qualification_Log!$C$5:$C$304,$A29,Qualification_Log!$G$5:$G$304,"Decertification",Qualification_Log!$O$5:$O$304,"&lt;&gt;",Qualification_Log!$B$5:$B$304,"&gt;="&amp;$B$3,Qualification_Log!$B$5:$B$304,"&lt;="&amp;$B$4))</f>
        <v/>
      </c>
      <c r="G29" s="32" t="str">
        <f aca="false">IF($A29="","",COUNTIFS(Qualification_Log!$C$5:$C$304,$A29,Qualification_Log!$O$5:$O$304,"Critical",Qualification_Log!$B$5:$B$304,"&gt;="&amp;$B$3,Qualification_Log!$B$5:$B$304,"&lt;="&amp;$B$4))</f>
        <v/>
      </c>
      <c r="H29" s="33" t="str">
        <f aca="false">IF($A29="","",SUMIFS(Qualification_Log!$N$5:$N$304,Qualification_Log!$C$5:$C$304,$A29,Qualification_Log!$B$5:$B$304,"&gt;="&amp;$B$3,Qualification_Log!$B$5:$B$304,"&lt;="&amp;$B$4))</f>
        <v/>
      </c>
      <c r="I29" s="32" t="str">
        <f aca="false">IF($A29="","",COUNTIFS(Recognition_Log!$C$5:$C$304,$A29,Recognition_Log!$N$5:$N$304,"Approved",Recognition_Log!$O$5:$O$304,"&gt;="&amp;$B$3,Recognition_Log!$O$5:$O$304,"&lt;="&amp;$B$4))</f>
        <v/>
      </c>
      <c r="J29" s="32" t="str">
        <f aca="false">IF($A29="","",SUMIFS(Recognition_Log!$Q$5:$Q$304,Recognition_Log!$C$5:$C$304,$A29,Recognition_Log!$O$5:$O$304,"&gt;="&amp;$B$3,Recognition_Log!$O$5:$O$304,"&lt;="&amp;$B$4))</f>
        <v/>
      </c>
      <c r="K29" s="32" t="str">
        <f aca="false">IF($A29="","",SUMIFS(Corrective_Action_Log!$T$5:$T$304,Corrective_Action_Log!$C$5:$C$304,$A29,Corrective_Action_Log!$N$5:$N$304,"&gt;="&amp;$B$3,Corrective_Action_Log!$N$5:$N$304,"&lt;="&amp;$B$4))</f>
        <v/>
      </c>
      <c r="L29" s="32" t="str">
        <f aca="false">IF($A29="","",J29-K29)</f>
        <v/>
      </c>
      <c r="M29" s="34" t="str">
        <f aca="false">IF($A29="","",IF(OR(G29&gt;0,E29&gt;0),"Under Review",IF(L29&gt;=Reference_Data!$AL$7,"Exemplary",IF(L29&gt;=Reference_Data!$AL$8,"Commendable",IF(L29&gt;=Reference_Data!$AL$9,"Meets Standard","Needs Improvement")))))</f>
        <v/>
      </c>
      <c r="N29" s="34" t="str">
        <f aca="false">IF($A29="","",IF(OR(G29&gt;0,K29&gt;=Reference_Data!$AL$10),"Ineligible","Eligible"))</f>
        <v/>
      </c>
      <c r="O29" s="32" t="str">
        <f aca="false">IF($A29="","",RANK(L29,$L$7:$L$106))</f>
        <v/>
      </c>
    </row>
    <row r="30" customFormat="false" ht="15" hidden="false" customHeight="false" outlineLevel="0" collapsed="false">
      <c r="A30" s="31" t="str">
        <f aca="false">IF(Employee_Master!A28="","",Employee_Master!A28)</f>
        <v/>
      </c>
      <c r="B30" s="31" t="str">
        <f aca="false">IF($A30="","",Employee_Master!B28)</f>
        <v/>
      </c>
      <c r="C30" s="31" t="str">
        <f aca="false">IF($A30="","",Employee_Master!C28)</f>
        <v/>
      </c>
      <c r="D30" s="32" t="str">
        <f aca="false">IF($A30="","",COUNTIFS(Qualification_Log!$C$5:$C$304,$A30,Qualification_Log!$U$5:$U$304,"Active"))</f>
        <v/>
      </c>
      <c r="E30" s="32" t="str">
        <f aca="false">IF($A30="","",COUNTIFS(Qualification_Log!$C$5:$C$304,$A30,Qualification_Log!$Q$5:$Q$304,"Yes",Qualification_Log!$R$5:$R$304,"&gt;="&amp;$B$3,Qualification_Log!$R$5:$R$304,"&lt;="&amp;$B$4))</f>
        <v/>
      </c>
      <c r="F30" s="32" t="str">
        <f aca="false">IF($A30="","",COUNTIFS(Qualification_Log!$C$5:$C$304,$A30,Qualification_Log!$G$5:$G$304,"Quality Incident",Qualification_Log!$B$5:$B$304,"&gt;="&amp;$B$3,Qualification_Log!$B$5:$B$304,"&lt;="&amp;$B$4)+COUNTIFS(Qualification_Log!$C$5:$C$304,$A30,Qualification_Log!$G$5:$G$304,"Decertification",Qualification_Log!$O$5:$O$304,"&lt;&gt;",Qualification_Log!$B$5:$B$304,"&gt;="&amp;$B$3,Qualification_Log!$B$5:$B$304,"&lt;="&amp;$B$4))</f>
        <v/>
      </c>
      <c r="G30" s="32" t="str">
        <f aca="false">IF($A30="","",COUNTIFS(Qualification_Log!$C$5:$C$304,$A30,Qualification_Log!$O$5:$O$304,"Critical",Qualification_Log!$B$5:$B$304,"&gt;="&amp;$B$3,Qualification_Log!$B$5:$B$304,"&lt;="&amp;$B$4))</f>
        <v/>
      </c>
      <c r="H30" s="33" t="str">
        <f aca="false">IF($A30="","",SUMIFS(Qualification_Log!$N$5:$N$304,Qualification_Log!$C$5:$C$304,$A30,Qualification_Log!$B$5:$B$304,"&gt;="&amp;$B$3,Qualification_Log!$B$5:$B$304,"&lt;="&amp;$B$4))</f>
        <v/>
      </c>
      <c r="I30" s="32" t="str">
        <f aca="false">IF($A30="","",COUNTIFS(Recognition_Log!$C$5:$C$304,$A30,Recognition_Log!$N$5:$N$304,"Approved",Recognition_Log!$O$5:$O$304,"&gt;="&amp;$B$3,Recognition_Log!$O$5:$O$304,"&lt;="&amp;$B$4))</f>
        <v/>
      </c>
      <c r="J30" s="32" t="str">
        <f aca="false">IF($A30="","",SUMIFS(Recognition_Log!$Q$5:$Q$304,Recognition_Log!$C$5:$C$304,$A30,Recognition_Log!$O$5:$O$304,"&gt;="&amp;$B$3,Recognition_Log!$O$5:$O$304,"&lt;="&amp;$B$4))</f>
        <v/>
      </c>
      <c r="K30" s="32" t="str">
        <f aca="false">IF($A30="","",SUMIFS(Corrective_Action_Log!$T$5:$T$304,Corrective_Action_Log!$C$5:$C$304,$A30,Corrective_Action_Log!$N$5:$N$304,"&gt;="&amp;$B$3,Corrective_Action_Log!$N$5:$N$304,"&lt;="&amp;$B$4))</f>
        <v/>
      </c>
      <c r="L30" s="32" t="str">
        <f aca="false">IF($A30="","",J30-K30)</f>
        <v/>
      </c>
      <c r="M30" s="34" t="str">
        <f aca="false">IF($A30="","",IF(OR(G30&gt;0,E30&gt;0),"Under Review",IF(L30&gt;=Reference_Data!$AL$7,"Exemplary",IF(L30&gt;=Reference_Data!$AL$8,"Commendable",IF(L30&gt;=Reference_Data!$AL$9,"Meets Standard","Needs Improvement")))))</f>
        <v/>
      </c>
      <c r="N30" s="34" t="str">
        <f aca="false">IF($A30="","",IF(OR(G30&gt;0,K30&gt;=Reference_Data!$AL$10),"Ineligible","Eligible"))</f>
        <v/>
      </c>
      <c r="O30" s="32" t="str">
        <f aca="false">IF($A30="","",RANK(L30,$L$7:$L$106))</f>
        <v/>
      </c>
    </row>
    <row r="31" customFormat="false" ht="15" hidden="false" customHeight="false" outlineLevel="0" collapsed="false">
      <c r="A31" s="31" t="str">
        <f aca="false">IF(Employee_Master!A29="","",Employee_Master!A29)</f>
        <v/>
      </c>
      <c r="B31" s="31" t="str">
        <f aca="false">IF($A31="","",Employee_Master!B29)</f>
        <v/>
      </c>
      <c r="C31" s="31" t="str">
        <f aca="false">IF($A31="","",Employee_Master!C29)</f>
        <v/>
      </c>
      <c r="D31" s="32" t="str">
        <f aca="false">IF($A31="","",COUNTIFS(Qualification_Log!$C$5:$C$304,$A31,Qualification_Log!$U$5:$U$304,"Active"))</f>
        <v/>
      </c>
      <c r="E31" s="32" t="str">
        <f aca="false">IF($A31="","",COUNTIFS(Qualification_Log!$C$5:$C$304,$A31,Qualification_Log!$Q$5:$Q$304,"Yes",Qualification_Log!$R$5:$R$304,"&gt;="&amp;$B$3,Qualification_Log!$R$5:$R$304,"&lt;="&amp;$B$4))</f>
        <v/>
      </c>
      <c r="F31" s="32" t="str">
        <f aca="false">IF($A31="","",COUNTIFS(Qualification_Log!$C$5:$C$304,$A31,Qualification_Log!$G$5:$G$304,"Quality Incident",Qualification_Log!$B$5:$B$304,"&gt;="&amp;$B$3,Qualification_Log!$B$5:$B$304,"&lt;="&amp;$B$4)+COUNTIFS(Qualification_Log!$C$5:$C$304,$A31,Qualification_Log!$G$5:$G$304,"Decertification",Qualification_Log!$O$5:$O$304,"&lt;&gt;",Qualification_Log!$B$5:$B$304,"&gt;="&amp;$B$3,Qualification_Log!$B$5:$B$304,"&lt;="&amp;$B$4))</f>
        <v/>
      </c>
      <c r="G31" s="32" t="str">
        <f aca="false">IF($A31="","",COUNTIFS(Qualification_Log!$C$5:$C$304,$A31,Qualification_Log!$O$5:$O$304,"Critical",Qualification_Log!$B$5:$B$304,"&gt;="&amp;$B$3,Qualification_Log!$B$5:$B$304,"&lt;="&amp;$B$4))</f>
        <v/>
      </c>
      <c r="H31" s="33" t="str">
        <f aca="false">IF($A31="","",SUMIFS(Qualification_Log!$N$5:$N$304,Qualification_Log!$C$5:$C$304,$A31,Qualification_Log!$B$5:$B$304,"&gt;="&amp;$B$3,Qualification_Log!$B$5:$B$304,"&lt;="&amp;$B$4))</f>
        <v/>
      </c>
      <c r="I31" s="32" t="str">
        <f aca="false">IF($A31="","",COUNTIFS(Recognition_Log!$C$5:$C$304,$A31,Recognition_Log!$N$5:$N$304,"Approved",Recognition_Log!$O$5:$O$304,"&gt;="&amp;$B$3,Recognition_Log!$O$5:$O$304,"&lt;="&amp;$B$4))</f>
        <v/>
      </c>
      <c r="J31" s="32" t="str">
        <f aca="false">IF($A31="","",SUMIFS(Recognition_Log!$Q$5:$Q$304,Recognition_Log!$C$5:$C$304,$A31,Recognition_Log!$O$5:$O$304,"&gt;="&amp;$B$3,Recognition_Log!$O$5:$O$304,"&lt;="&amp;$B$4))</f>
        <v/>
      </c>
      <c r="K31" s="32" t="str">
        <f aca="false">IF($A31="","",SUMIFS(Corrective_Action_Log!$T$5:$T$304,Corrective_Action_Log!$C$5:$C$304,$A31,Corrective_Action_Log!$N$5:$N$304,"&gt;="&amp;$B$3,Corrective_Action_Log!$N$5:$N$304,"&lt;="&amp;$B$4))</f>
        <v/>
      </c>
      <c r="L31" s="32" t="str">
        <f aca="false">IF($A31="","",J31-K31)</f>
        <v/>
      </c>
      <c r="M31" s="34" t="str">
        <f aca="false">IF($A31="","",IF(OR(G31&gt;0,E31&gt;0),"Under Review",IF(L31&gt;=Reference_Data!$AL$7,"Exemplary",IF(L31&gt;=Reference_Data!$AL$8,"Commendable",IF(L31&gt;=Reference_Data!$AL$9,"Meets Standard","Needs Improvement")))))</f>
        <v/>
      </c>
      <c r="N31" s="34" t="str">
        <f aca="false">IF($A31="","",IF(OR(G31&gt;0,K31&gt;=Reference_Data!$AL$10),"Ineligible","Eligible"))</f>
        <v/>
      </c>
      <c r="O31" s="32" t="str">
        <f aca="false">IF($A31="","",RANK(L31,$L$7:$L$106))</f>
        <v/>
      </c>
    </row>
    <row r="32" customFormat="false" ht="15" hidden="false" customHeight="false" outlineLevel="0" collapsed="false">
      <c r="A32" s="31" t="str">
        <f aca="false">IF(Employee_Master!A30="","",Employee_Master!A30)</f>
        <v/>
      </c>
      <c r="B32" s="31" t="str">
        <f aca="false">IF($A32="","",Employee_Master!B30)</f>
        <v/>
      </c>
      <c r="C32" s="31" t="str">
        <f aca="false">IF($A32="","",Employee_Master!C30)</f>
        <v/>
      </c>
      <c r="D32" s="32" t="str">
        <f aca="false">IF($A32="","",COUNTIFS(Qualification_Log!$C$5:$C$304,$A32,Qualification_Log!$U$5:$U$304,"Active"))</f>
        <v/>
      </c>
      <c r="E32" s="32" t="str">
        <f aca="false">IF($A32="","",COUNTIFS(Qualification_Log!$C$5:$C$304,$A32,Qualification_Log!$Q$5:$Q$304,"Yes",Qualification_Log!$R$5:$R$304,"&gt;="&amp;$B$3,Qualification_Log!$R$5:$R$304,"&lt;="&amp;$B$4))</f>
        <v/>
      </c>
      <c r="F32" s="32" t="str">
        <f aca="false">IF($A32="","",COUNTIFS(Qualification_Log!$C$5:$C$304,$A32,Qualification_Log!$G$5:$G$304,"Quality Incident",Qualification_Log!$B$5:$B$304,"&gt;="&amp;$B$3,Qualification_Log!$B$5:$B$304,"&lt;="&amp;$B$4)+COUNTIFS(Qualification_Log!$C$5:$C$304,$A32,Qualification_Log!$G$5:$G$304,"Decertification",Qualification_Log!$O$5:$O$304,"&lt;&gt;",Qualification_Log!$B$5:$B$304,"&gt;="&amp;$B$3,Qualification_Log!$B$5:$B$304,"&lt;="&amp;$B$4))</f>
        <v/>
      </c>
      <c r="G32" s="32" t="str">
        <f aca="false">IF($A32="","",COUNTIFS(Qualification_Log!$C$5:$C$304,$A32,Qualification_Log!$O$5:$O$304,"Critical",Qualification_Log!$B$5:$B$304,"&gt;="&amp;$B$3,Qualification_Log!$B$5:$B$304,"&lt;="&amp;$B$4))</f>
        <v/>
      </c>
      <c r="H32" s="33" t="str">
        <f aca="false">IF($A32="","",SUMIFS(Qualification_Log!$N$5:$N$304,Qualification_Log!$C$5:$C$304,$A32,Qualification_Log!$B$5:$B$304,"&gt;="&amp;$B$3,Qualification_Log!$B$5:$B$304,"&lt;="&amp;$B$4))</f>
        <v/>
      </c>
      <c r="I32" s="32" t="str">
        <f aca="false">IF($A32="","",COUNTIFS(Recognition_Log!$C$5:$C$304,$A32,Recognition_Log!$N$5:$N$304,"Approved",Recognition_Log!$O$5:$O$304,"&gt;="&amp;$B$3,Recognition_Log!$O$5:$O$304,"&lt;="&amp;$B$4))</f>
        <v/>
      </c>
      <c r="J32" s="32" t="str">
        <f aca="false">IF($A32="","",SUMIFS(Recognition_Log!$Q$5:$Q$304,Recognition_Log!$C$5:$C$304,$A32,Recognition_Log!$O$5:$O$304,"&gt;="&amp;$B$3,Recognition_Log!$O$5:$O$304,"&lt;="&amp;$B$4))</f>
        <v/>
      </c>
      <c r="K32" s="32" t="str">
        <f aca="false">IF($A32="","",SUMIFS(Corrective_Action_Log!$T$5:$T$304,Corrective_Action_Log!$C$5:$C$304,$A32,Corrective_Action_Log!$N$5:$N$304,"&gt;="&amp;$B$3,Corrective_Action_Log!$N$5:$N$304,"&lt;="&amp;$B$4))</f>
        <v/>
      </c>
      <c r="L32" s="32" t="str">
        <f aca="false">IF($A32="","",J32-K32)</f>
        <v/>
      </c>
      <c r="M32" s="34" t="str">
        <f aca="false">IF($A32="","",IF(OR(G32&gt;0,E32&gt;0),"Under Review",IF(L32&gt;=Reference_Data!$AL$7,"Exemplary",IF(L32&gt;=Reference_Data!$AL$8,"Commendable",IF(L32&gt;=Reference_Data!$AL$9,"Meets Standard","Needs Improvement")))))</f>
        <v/>
      </c>
      <c r="N32" s="34" t="str">
        <f aca="false">IF($A32="","",IF(OR(G32&gt;0,K32&gt;=Reference_Data!$AL$10),"Ineligible","Eligible"))</f>
        <v/>
      </c>
      <c r="O32" s="32" t="str">
        <f aca="false">IF($A32="","",RANK(L32,$L$7:$L$106))</f>
        <v/>
      </c>
    </row>
    <row r="33" customFormat="false" ht="15" hidden="false" customHeight="false" outlineLevel="0" collapsed="false">
      <c r="A33" s="31" t="str">
        <f aca="false">IF(Employee_Master!A31="","",Employee_Master!A31)</f>
        <v/>
      </c>
      <c r="B33" s="31" t="str">
        <f aca="false">IF($A33="","",Employee_Master!B31)</f>
        <v/>
      </c>
      <c r="C33" s="31" t="str">
        <f aca="false">IF($A33="","",Employee_Master!C31)</f>
        <v/>
      </c>
      <c r="D33" s="32" t="str">
        <f aca="false">IF($A33="","",COUNTIFS(Qualification_Log!$C$5:$C$304,$A33,Qualification_Log!$U$5:$U$304,"Active"))</f>
        <v/>
      </c>
      <c r="E33" s="32" t="str">
        <f aca="false">IF($A33="","",COUNTIFS(Qualification_Log!$C$5:$C$304,$A33,Qualification_Log!$Q$5:$Q$304,"Yes",Qualification_Log!$R$5:$R$304,"&gt;="&amp;$B$3,Qualification_Log!$R$5:$R$304,"&lt;="&amp;$B$4))</f>
        <v/>
      </c>
      <c r="F33" s="32" t="str">
        <f aca="false">IF($A33="","",COUNTIFS(Qualification_Log!$C$5:$C$304,$A33,Qualification_Log!$G$5:$G$304,"Quality Incident",Qualification_Log!$B$5:$B$304,"&gt;="&amp;$B$3,Qualification_Log!$B$5:$B$304,"&lt;="&amp;$B$4)+COUNTIFS(Qualification_Log!$C$5:$C$304,$A33,Qualification_Log!$G$5:$G$304,"Decertification",Qualification_Log!$O$5:$O$304,"&lt;&gt;",Qualification_Log!$B$5:$B$304,"&gt;="&amp;$B$3,Qualification_Log!$B$5:$B$304,"&lt;="&amp;$B$4))</f>
        <v/>
      </c>
      <c r="G33" s="32" t="str">
        <f aca="false">IF($A33="","",COUNTIFS(Qualification_Log!$C$5:$C$304,$A33,Qualification_Log!$O$5:$O$304,"Critical",Qualification_Log!$B$5:$B$304,"&gt;="&amp;$B$3,Qualification_Log!$B$5:$B$304,"&lt;="&amp;$B$4))</f>
        <v/>
      </c>
      <c r="H33" s="33" t="str">
        <f aca="false">IF($A33="","",SUMIFS(Qualification_Log!$N$5:$N$304,Qualification_Log!$C$5:$C$304,$A33,Qualification_Log!$B$5:$B$304,"&gt;="&amp;$B$3,Qualification_Log!$B$5:$B$304,"&lt;="&amp;$B$4))</f>
        <v/>
      </c>
      <c r="I33" s="32" t="str">
        <f aca="false">IF($A33="","",COUNTIFS(Recognition_Log!$C$5:$C$304,$A33,Recognition_Log!$N$5:$N$304,"Approved",Recognition_Log!$O$5:$O$304,"&gt;="&amp;$B$3,Recognition_Log!$O$5:$O$304,"&lt;="&amp;$B$4))</f>
        <v/>
      </c>
      <c r="J33" s="32" t="str">
        <f aca="false">IF($A33="","",SUMIFS(Recognition_Log!$Q$5:$Q$304,Recognition_Log!$C$5:$C$304,$A33,Recognition_Log!$O$5:$O$304,"&gt;="&amp;$B$3,Recognition_Log!$O$5:$O$304,"&lt;="&amp;$B$4))</f>
        <v/>
      </c>
      <c r="K33" s="32" t="str">
        <f aca="false">IF($A33="","",SUMIFS(Corrective_Action_Log!$T$5:$T$304,Corrective_Action_Log!$C$5:$C$304,$A33,Corrective_Action_Log!$N$5:$N$304,"&gt;="&amp;$B$3,Corrective_Action_Log!$N$5:$N$304,"&lt;="&amp;$B$4))</f>
        <v/>
      </c>
      <c r="L33" s="32" t="str">
        <f aca="false">IF($A33="","",J33-K33)</f>
        <v/>
      </c>
      <c r="M33" s="34" t="str">
        <f aca="false">IF($A33="","",IF(OR(G33&gt;0,E33&gt;0),"Under Review",IF(L33&gt;=Reference_Data!$AL$7,"Exemplary",IF(L33&gt;=Reference_Data!$AL$8,"Commendable",IF(L33&gt;=Reference_Data!$AL$9,"Meets Standard","Needs Improvement")))))</f>
        <v/>
      </c>
      <c r="N33" s="34" t="str">
        <f aca="false">IF($A33="","",IF(OR(G33&gt;0,K33&gt;=Reference_Data!$AL$10),"Ineligible","Eligible"))</f>
        <v/>
      </c>
      <c r="O33" s="32" t="str">
        <f aca="false">IF($A33="","",RANK(L33,$L$7:$L$106))</f>
        <v/>
      </c>
    </row>
    <row r="34" customFormat="false" ht="15" hidden="false" customHeight="false" outlineLevel="0" collapsed="false">
      <c r="A34" s="31" t="str">
        <f aca="false">IF(Employee_Master!A32="","",Employee_Master!A32)</f>
        <v/>
      </c>
      <c r="B34" s="31" t="str">
        <f aca="false">IF($A34="","",Employee_Master!B32)</f>
        <v/>
      </c>
      <c r="C34" s="31" t="str">
        <f aca="false">IF($A34="","",Employee_Master!C32)</f>
        <v/>
      </c>
      <c r="D34" s="32" t="str">
        <f aca="false">IF($A34="","",COUNTIFS(Qualification_Log!$C$5:$C$304,$A34,Qualification_Log!$U$5:$U$304,"Active"))</f>
        <v/>
      </c>
      <c r="E34" s="32" t="str">
        <f aca="false">IF($A34="","",COUNTIFS(Qualification_Log!$C$5:$C$304,$A34,Qualification_Log!$Q$5:$Q$304,"Yes",Qualification_Log!$R$5:$R$304,"&gt;="&amp;$B$3,Qualification_Log!$R$5:$R$304,"&lt;="&amp;$B$4))</f>
        <v/>
      </c>
      <c r="F34" s="32" t="str">
        <f aca="false">IF($A34="","",COUNTIFS(Qualification_Log!$C$5:$C$304,$A34,Qualification_Log!$G$5:$G$304,"Quality Incident",Qualification_Log!$B$5:$B$304,"&gt;="&amp;$B$3,Qualification_Log!$B$5:$B$304,"&lt;="&amp;$B$4)+COUNTIFS(Qualification_Log!$C$5:$C$304,$A34,Qualification_Log!$G$5:$G$304,"Decertification",Qualification_Log!$O$5:$O$304,"&lt;&gt;",Qualification_Log!$B$5:$B$304,"&gt;="&amp;$B$3,Qualification_Log!$B$5:$B$304,"&lt;="&amp;$B$4))</f>
        <v/>
      </c>
      <c r="G34" s="32" t="str">
        <f aca="false">IF($A34="","",COUNTIFS(Qualification_Log!$C$5:$C$304,$A34,Qualification_Log!$O$5:$O$304,"Critical",Qualification_Log!$B$5:$B$304,"&gt;="&amp;$B$3,Qualification_Log!$B$5:$B$304,"&lt;="&amp;$B$4))</f>
        <v/>
      </c>
      <c r="H34" s="33" t="str">
        <f aca="false">IF($A34="","",SUMIFS(Qualification_Log!$N$5:$N$304,Qualification_Log!$C$5:$C$304,$A34,Qualification_Log!$B$5:$B$304,"&gt;="&amp;$B$3,Qualification_Log!$B$5:$B$304,"&lt;="&amp;$B$4))</f>
        <v/>
      </c>
      <c r="I34" s="32" t="str">
        <f aca="false">IF($A34="","",COUNTIFS(Recognition_Log!$C$5:$C$304,$A34,Recognition_Log!$N$5:$N$304,"Approved",Recognition_Log!$O$5:$O$304,"&gt;="&amp;$B$3,Recognition_Log!$O$5:$O$304,"&lt;="&amp;$B$4))</f>
        <v/>
      </c>
      <c r="J34" s="32" t="str">
        <f aca="false">IF($A34="","",SUMIFS(Recognition_Log!$Q$5:$Q$304,Recognition_Log!$C$5:$C$304,$A34,Recognition_Log!$O$5:$O$304,"&gt;="&amp;$B$3,Recognition_Log!$O$5:$O$304,"&lt;="&amp;$B$4))</f>
        <v/>
      </c>
      <c r="K34" s="32" t="str">
        <f aca="false">IF($A34="","",SUMIFS(Corrective_Action_Log!$T$5:$T$304,Corrective_Action_Log!$C$5:$C$304,$A34,Corrective_Action_Log!$N$5:$N$304,"&gt;="&amp;$B$3,Corrective_Action_Log!$N$5:$N$304,"&lt;="&amp;$B$4))</f>
        <v/>
      </c>
      <c r="L34" s="32" t="str">
        <f aca="false">IF($A34="","",J34-K34)</f>
        <v/>
      </c>
      <c r="M34" s="34" t="str">
        <f aca="false">IF($A34="","",IF(OR(G34&gt;0,E34&gt;0),"Under Review",IF(L34&gt;=Reference_Data!$AL$7,"Exemplary",IF(L34&gt;=Reference_Data!$AL$8,"Commendable",IF(L34&gt;=Reference_Data!$AL$9,"Meets Standard","Needs Improvement")))))</f>
        <v/>
      </c>
      <c r="N34" s="34" t="str">
        <f aca="false">IF($A34="","",IF(OR(G34&gt;0,K34&gt;=Reference_Data!$AL$10),"Ineligible","Eligible"))</f>
        <v/>
      </c>
      <c r="O34" s="32" t="str">
        <f aca="false">IF($A34="","",RANK(L34,$L$7:$L$106))</f>
        <v/>
      </c>
    </row>
    <row r="35" customFormat="false" ht="15" hidden="false" customHeight="false" outlineLevel="0" collapsed="false">
      <c r="A35" s="31" t="str">
        <f aca="false">IF(Employee_Master!A33="","",Employee_Master!A33)</f>
        <v/>
      </c>
      <c r="B35" s="31" t="str">
        <f aca="false">IF($A35="","",Employee_Master!B33)</f>
        <v/>
      </c>
      <c r="C35" s="31" t="str">
        <f aca="false">IF($A35="","",Employee_Master!C33)</f>
        <v/>
      </c>
      <c r="D35" s="32" t="str">
        <f aca="false">IF($A35="","",COUNTIFS(Qualification_Log!$C$5:$C$304,$A35,Qualification_Log!$U$5:$U$304,"Active"))</f>
        <v/>
      </c>
      <c r="E35" s="32" t="str">
        <f aca="false">IF($A35="","",COUNTIFS(Qualification_Log!$C$5:$C$304,$A35,Qualification_Log!$Q$5:$Q$304,"Yes",Qualification_Log!$R$5:$R$304,"&gt;="&amp;$B$3,Qualification_Log!$R$5:$R$304,"&lt;="&amp;$B$4))</f>
        <v/>
      </c>
      <c r="F35" s="32" t="str">
        <f aca="false">IF($A35="","",COUNTIFS(Qualification_Log!$C$5:$C$304,$A35,Qualification_Log!$G$5:$G$304,"Quality Incident",Qualification_Log!$B$5:$B$304,"&gt;="&amp;$B$3,Qualification_Log!$B$5:$B$304,"&lt;="&amp;$B$4)+COUNTIFS(Qualification_Log!$C$5:$C$304,$A35,Qualification_Log!$G$5:$G$304,"Decertification",Qualification_Log!$O$5:$O$304,"&lt;&gt;",Qualification_Log!$B$5:$B$304,"&gt;="&amp;$B$3,Qualification_Log!$B$5:$B$304,"&lt;="&amp;$B$4))</f>
        <v/>
      </c>
      <c r="G35" s="32" t="str">
        <f aca="false">IF($A35="","",COUNTIFS(Qualification_Log!$C$5:$C$304,$A35,Qualification_Log!$O$5:$O$304,"Critical",Qualification_Log!$B$5:$B$304,"&gt;="&amp;$B$3,Qualification_Log!$B$5:$B$304,"&lt;="&amp;$B$4))</f>
        <v/>
      </c>
      <c r="H35" s="33" t="str">
        <f aca="false">IF($A35="","",SUMIFS(Qualification_Log!$N$5:$N$304,Qualification_Log!$C$5:$C$304,$A35,Qualification_Log!$B$5:$B$304,"&gt;="&amp;$B$3,Qualification_Log!$B$5:$B$304,"&lt;="&amp;$B$4))</f>
        <v/>
      </c>
      <c r="I35" s="32" t="str">
        <f aca="false">IF($A35="","",COUNTIFS(Recognition_Log!$C$5:$C$304,$A35,Recognition_Log!$N$5:$N$304,"Approved",Recognition_Log!$O$5:$O$304,"&gt;="&amp;$B$3,Recognition_Log!$O$5:$O$304,"&lt;="&amp;$B$4))</f>
        <v/>
      </c>
      <c r="J35" s="32" t="str">
        <f aca="false">IF($A35="","",SUMIFS(Recognition_Log!$Q$5:$Q$304,Recognition_Log!$C$5:$C$304,$A35,Recognition_Log!$O$5:$O$304,"&gt;="&amp;$B$3,Recognition_Log!$O$5:$O$304,"&lt;="&amp;$B$4))</f>
        <v/>
      </c>
      <c r="K35" s="32" t="str">
        <f aca="false">IF($A35="","",SUMIFS(Corrective_Action_Log!$T$5:$T$304,Corrective_Action_Log!$C$5:$C$304,$A35,Corrective_Action_Log!$N$5:$N$304,"&gt;="&amp;$B$3,Corrective_Action_Log!$N$5:$N$304,"&lt;="&amp;$B$4))</f>
        <v/>
      </c>
      <c r="L35" s="32" t="str">
        <f aca="false">IF($A35="","",J35-K35)</f>
        <v/>
      </c>
      <c r="M35" s="34" t="str">
        <f aca="false">IF($A35="","",IF(OR(G35&gt;0,E35&gt;0),"Under Review",IF(L35&gt;=Reference_Data!$AL$7,"Exemplary",IF(L35&gt;=Reference_Data!$AL$8,"Commendable",IF(L35&gt;=Reference_Data!$AL$9,"Meets Standard","Needs Improvement")))))</f>
        <v/>
      </c>
      <c r="N35" s="34" t="str">
        <f aca="false">IF($A35="","",IF(OR(G35&gt;0,K35&gt;=Reference_Data!$AL$10),"Ineligible","Eligible"))</f>
        <v/>
      </c>
      <c r="O35" s="32" t="str">
        <f aca="false">IF($A35="","",RANK(L35,$L$7:$L$106))</f>
        <v/>
      </c>
    </row>
    <row r="36" customFormat="false" ht="15" hidden="false" customHeight="false" outlineLevel="0" collapsed="false">
      <c r="A36" s="31" t="str">
        <f aca="false">IF(Employee_Master!A34="","",Employee_Master!A34)</f>
        <v/>
      </c>
      <c r="B36" s="31" t="str">
        <f aca="false">IF($A36="","",Employee_Master!B34)</f>
        <v/>
      </c>
      <c r="C36" s="31" t="str">
        <f aca="false">IF($A36="","",Employee_Master!C34)</f>
        <v/>
      </c>
      <c r="D36" s="32" t="str">
        <f aca="false">IF($A36="","",COUNTIFS(Qualification_Log!$C$5:$C$304,$A36,Qualification_Log!$U$5:$U$304,"Active"))</f>
        <v/>
      </c>
      <c r="E36" s="32" t="str">
        <f aca="false">IF($A36="","",COUNTIFS(Qualification_Log!$C$5:$C$304,$A36,Qualification_Log!$Q$5:$Q$304,"Yes",Qualification_Log!$R$5:$R$304,"&gt;="&amp;$B$3,Qualification_Log!$R$5:$R$304,"&lt;="&amp;$B$4))</f>
        <v/>
      </c>
      <c r="F36" s="32" t="str">
        <f aca="false">IF($A36="","",COUNTIFS(Qualification_Log!$C$5:$C$304,$A36,Qualification_Log!$G$5:$G$304,"Quality Incident",Qualification_Log!$B$5:$B$304,"&gt;="&amp;$B$3,Qualification_Log!$B$5:$B$304,"&lt;="&amp;$B$4)+COUNTIFS(Qualification_Log!$C$5:$C$304,$A36,Qualification_Log!$G$5:$G$304,"Decertification",Qualification_Log!$O$5:$O$304,"&lt;&gt;",Qualification_Log!$B$5:$B$304,"&gt;="&amp;$B$3,Qualification_Log!$B$5:$B$304,"&lt;="&amp;$B$4))</f>
        <v/>
      </c>
      <c r="G36" s="32" t="str">
        <f aca="false">IF($A36="","",COUNTIFS(Qualification_Log!$C$5:$C$304,$A36,Qualification_Log!$O$5:$O$304,"Critical",Qualification_Log!$B$5:$B$304,"&gt;="&amp;$B$3,Qualification_Log!$B$5:$B$304,"&lt;="&amp;$B$4))</f>
        <v/>
      </c>
      <c r="H36" s="33" t="str">
        <f aca="false">IF($A36="","",SUMIFS(Qualification_Log!$N$5:$N$304,Qualification_Log!$C$5:$C$304,$A36,Qualification_Log!$B$5:$B$304,"&gt;="&amp;$B$3,Qualification_Log!$B$5:$B$304,"&lt;="&amp;$B$4))</f>
        <v/>
      </c>
      <c r="I36" s="32" t="str">
        <f aca="false">IF($A36="","",COUNTIFS(Recognition_Log!$C$5:$C$304,$A36,Recognition_Log!$N$5:$N$304,"Approved",Recognition_Log!$O$5:$O$304,"&gt;="&amp;$B$3,Recognition_Log!$O$5:$O$304,"&lt;="&amp;$B$4))</f>
        <v/>
      </c>
      <c r="J36" s="32" t="str">
        <f aca="false">IF($A36="","",SUMIFS(Recognition_Log!$Q$5:$Q$304,Recognition_Log!$C$5:$C$304,$A36,Recognition_Log!$O$5:$O$304,"&gt;="&amp;$B$3,Recognition_Log!$O$5:$O$304,"&lt;="&amp;$B$4))</f>
        <v/>
      </c>
      <c r="K36" s="32" t="str">
        <f aca="false">IF($A36="","",SUMIFS(Corrective_Action_Log!$T$5:$T$304,Corrective_Action_Log!$C$5:$C$304,$A36,Corrective_Action_Log!$N$5:$N$304,"&gt;="&amp;$B$3,Corrective_Action_Log!$N$5:$N$304,"&lt;="&amp;$B$4))</f>
        <v/>
      </c>
      <c r="L36" s="32" t="str">
        <f aca="false">IF($A36="","",J36-K36)</f>
        <v/>
      </c>
      <c r="M36" s="34" t="str">
        <f aca="false">IF($A36="","",IF(OR(G36&gt;0,E36&gt;0),"Under Review",IF(L36&gt;=Reference_Data!$AL$7,"Exemplary",IF(L36&gt;=Reference_Data!$AL$8,"Commendable",IF(L36&gt;=Reference_Data!$AL$9,"Meets Standard","Needs Improvement")))))</f>
        <v/>
      </c>
      <c r="N36" s="34" t="str">
        <f aca="false">IF($A36="","",IF(OR(G36&gt;0,K36&gt;=Reference_Data!$AL$10),"Ineligible","Eligible"))</f>
        <v/>
      </c>
      <c r="O36" s="32" t="str">
        <f aca="false">IF($A36="","",RANK(L36,$L$7:$L$106))</f>
        <v/>
      </c>
    </row>
    <row r="37" customFormat="false" ht="15" hidden="false" customHeight="false" outlineLevel="0" collapsed="false">
      <c r="A37" s="31" t="str">
        <f aca="false">IF(Employee_Master!A35="","",Employee_Master!A35)</f>
        <v/>
      </c>
      <c r="B37" s="31" t="str">
        <f aca="false">IF($A37="","",Employee_Master!B35)</f>
        <v/>
      </c>
      <c r="C37" s="31" t="str">
        <f aca="false">IF($A37="","",Employee_Master!C35)</f>
        <v/>
      </c>
      <c r="D37" s="32" t="str">
        <f aca="false">IF($A37="","",COUNTIFS(Qualification_Log!$C$5:$C$304,$A37,Qualification_Log!$U$5:$U$304,"Active"))</f>
        <v/>
      </c>
      <c r="E37" s="32" t="str">
        <f aca="false">IF($A37="","",COUNTIFS(Qualification_Log!$C$5:$C$304,$A37,Qualification_Log!$Q$5:$Q$304,"Yes",Qualification_Log!$R$5:$R$304,"&gt;="&amp;$B$3,Qualification_Log!$R$5:$R$304,"&lt;="&amp;$B$4))</f>
        <v/>
      </c>
      <c r="F37" s="32" t="str">
        <f aca="false">IF($A37="","",COUNTIFS(Qualification_Log!$C$5:$C$304,$A37,Qualification_Log!$G$5:$G$304,"Quality Incident",Qualification_Log!$B$5:$B$304,"&gt;="&amp;$B$3,Qualification_Log!$B$5:$B$304,"&lt;="&amp;$B$4)+COUNTIFS(Qualification_Log!$C$5:$C$304,$A37,Qualification_Log!$G$5:$G$304,"Decertification",Qualification_Log!$O$5:$O$304,"&lt;&gt;",Qualification_Log!$B$5:$B$304,"&gt;="&amp;$B$3,Qualification_Log!$B$5:$B$304,"&lt;="&amp;$B$4))</f>
        <v/>
      </c>
      <c r="G37" s="32" t="str">
        <f aca="false">IF($A37="","",COUNTIFS(Qualification_Log!$C$5:$C$304,$A37,Qualification_Log!$O$5:$O$304,"Critical",Qualification_Log!$B$5:$B$304,"&gt;="&amp;$B$3,Qualification_Log!$B$5:$B$304,"&lt;="&amp;$B$4))</f>
        <v/>
      </c>
      <c r="H37" s="33" t="str">
        <f aca="false">IF($A37="","",SUMIFS(Qualification_Log!$N$5:$N$304,Qualification_Log!$C$5:$C$304,$A37,Qualification_Log!$B$5:$B$304,"&gt;="&amp;$B$3,Qualification_Log!$B$5:$B$304,"&lt;="&amp;$B$4))</f>
        <v/>
      </c>
      <c r="I37" s="32" t="str">
        <f aca="false">IF($A37="","",COUNTIFS(Recognition_Log!$C$5:$C$304,$A37,Recognition_Log!$N$5:$N$304,"Approved",Recognition_Log!$O$5:$O$304,"&gt;="&amp;$B$3,Recognition_Log!$O$5:$O$304,"&lt;="&amp;$B$4))</f>
        <v/>
      </c>
      <c r="J37" s="32" t="str">
        <f aca="false">IF($A37="","",SUMIFS(Recognition_Log!$Q$5:$Q$304,Recognition_Log!$C$5:$C$304,$A37,Recognition_Log!$O$5:$O$304,"&gt;="&amp;$B$3,Recognition_Log!$O$5:$O$304,"&lt;="&amp;$B$4))</f>
        <v/>
      </c>
      <c r="K37" s="32" t="str">
        <f aca="false">IF($A37="","",SUMIFS(Corrective_Action_Log!$T$5:$T$304,Corrective_Action_Log!$C$5:$C$304,$A37,Corrective_Action_Log!$N$5:$N$304,"&gt;="&amp;$B$3,Corrective_Action_Log!$N$5:$N$304,"&lt;="&amp;$B$4))</f>
        <v/>
      </c>
      <c r="L37" s="32" t="str">
        <f aca="false">IF($A37="","",J37-K37)</f>
        <v/>
      </c>
      <c r="M37" s="34" t="str">
        <f aca="false">IF($A37="","",IF(OR(G37&gt;0,E37&gt;0),"Under Review",IF(L37&gt;=Reference_Data!$AL$7,"Exemplary",IF(L37&gt;=Reference_Data!$AL$8,"Commendable",IF(L37&gt;=Reference_Data!$AL$9,"Meets Standard","Needs Improvement")))))</f>
        <v/>
      </c>
      <c r="N37" s="34" t="str">
        <f aca="false">IF($A37="","",IF(OR(G37&gt;0,K37&gt;=Reference_Data!$AL$10),"Ineligible","Eligible"))</f>
        <v/>
      </c>
      <c r="O37" s="32" t="str">
        <f aca="false">IF($A37="","",RANK(L37,$L$7:$L$106))</f>
        <v/>
      </c>
    </row>
    <row r="38" customFormat="false" ht="15" hidden="false" customHeight="false" outlineLevel="0" collapsed="false">
      <c r="A38" s="31" t="str">
        <f aca="false">IF(Employee_Master!A36="","",Employee_Master!A36)</f>
        <v/>
      </c>
      <c r="B38" s="31" t="str">
        <f aca="false">IF($A38="","",Employee_Master!B36)</f>
        <v/>
      </c>
      <c r="C38" s="31" t="str">
        <f aca="false">IF($A38="","",Employee_Master!C36)</f>
        <v/>
      </c>
      <c r="D38" s="32" t="str">
        <f aca="false">IF($A38="","",COUNTIFS(Qualification_Log!$C$5:$C$304,$A38,Qualification_Log!$U$5:$U$304,"Active"))</f>
        <v/>
      </c>
      <c r="E38" s="32" t="str">
        <f aca="false">IF($A38="","",COUNTIFS(Qualification_Log!$C$5:$C$304,$A38,Qualification_Log!$Q$5:$Q$304,"Yes",Qualification_Log!$R$5:$R$304,"&gt;="&amp;$B$3,Qualification_Log!$R$5:$R$304,"&lt;="&amp;$B$4))</f>
        <v/>
      </c>
      <c r="F38" s="32" t="str">
        <f aca="false">IF($A38="","",COUNTIFS(Qualification_Log!$C$5:$C$304,$A38,Qualification_Log!$G$5:$G$304,"Quality Incident",Qualification_Log!$B$5:$B$304,"&gt;="&amp;$B$3,Qualification_Log!$B$5:$B$304,"&lt;="&amp;$B$4)+COUNTIFS(Qualification_Log!$C$5:$C$304,$A38,Qualification_Log!$G$5:$G$304,"Decertification",Qualification_Log!$O$5:$O$304,"&lt;&gt;",Qualification_Log!$B$5:$B$304,"&gt;="&amp;$B$3,Qualification_Log!$B$5:$B$304,"&lt;="&amp;$B$4))</f>
        <v/>
      </c>
      <c r="G38" s="32" t="str">
        <f aca="false">IF($A38="","",COUNTIFS(Qualification_Log!$C$5:$C$304,$A38,Qualification_Log!$O$5:$O$304,"Critical",Qualification_Log!$B$5:$B$304,"&gt;="&amp;$B$3,Qualification_Log!$B$5:$B$304,"&lt;="&amp;$B$4))</f>
        <v/>
      </c>
      <c r="H38" s="33" t="str">
        <f aca="false">IF($A38="","",SUMIFS(Qualification_Log!$N$5:$N$304,Qualification_Log!$C$5:$C$304,$A38,Qualification_Log!$B$5:$B$304,"&gt;="&amp;$B$3,Qualification_Log!$B$5:$B$304,"&lt;="&amp;$B$4))</f>
        <v/>
      </c>
      <c r="I38" s="32" t="str">
        <f aca="false">IF($A38="","",COUNTIFS(Recognition_Log!$C$5:$C$304,$A38,Recognition_Log!$N$5:$N$304,"Approved",Recognition_Log!$O$5:$O$304,"&gt;="&amp;$B$3,Recognition_Log!$O$5:$O$304,"&lt;="&amp;$B$4))</f>
        <v/>
      </c>
      <c r="J38" s="32" t="str">
        <f aca="false">IF($A38="","",SUMIFS(Recognition_Log!$Q$5:$Q$304,Recognition_Log!$C$5:$C$304,$A38,Recognition_Log!$O$5:$O$304,"&gt;="&amp;$B$3,Recognition_Log!$O$5:$O$304,"&lt;="&amp;$B$4))</f>
        <v/>
      </c>
      <c r="K38" s="32" t="str">
        <f aca="false">IF($A38="","",SUMIFS(Corrective_Action_Log!$T$5:$T$304,Corrective_Action_Log!$C$5:$C$304,$A38,Corrective_Action_Log!$N$5:$N$304,"&gt;="&amp;$B$3,Corrective_Action_Log!$N$5:$N$304,"&lt;="&amp;$B$4))</f>
        <v/>
      </c>
      <c r="L38" s="32" t="str">
        <f aca="false">IF($A38="","",J38-K38)</f>
        <v/>
      </c>
      <c r="M38" s="34" t="str">
        <f aca="false">IF($A38="","",IF(OR(G38&gt;0,E38&gt;0),"Under Review",IF(L38&gt;=Reference_Data!$AL$7,"Exemplary",IF(L38&gt;=Reference_Data!$AL$8,"Commendable",IF(L38&gt;=Reference_Data!$AL$9,"Meets Standard","Needs Improvement")))))</f>
        <v/>
      </c>
      <c r="N38" s="34" t="str">
        <f aca="false">IF($A38="","",IF(OR(G38&gt;0,K38&gt;=Reference_Data!$AL$10),"Ineligible","Eligible"))</f>
        <v/>
      </c>
      <c r="O38" s="32" t="str">
        <f aca="false">IF($A38="","",RANK(L38,$L$7:$L$106))</f>
        <v/>
      </c>
    </row>
    <row r="39" customFormat="false" ht="15" hidden="false" customHeight="false" outlineLevel="0" collapsed="false">
      <c r="A39" s="31" t="str">
        <f aca="false">IF(Employee_Master!A37="","",Employee_Master!A37)</f>
        <v/>
      </c>
      <c r="B39" s="31" t="str">
        <f aca="false">IF($A39="","",Employee_Master!B37)</f>
        <v/>
      </c>
      <c r="C39" s="31" t="str">
        <f aca="false">IF($A39="","",Employee_Master!C37)</f>
        <v/>
      </c>
      <c r="D39" s="32" t="str">
        <f aca="false">IF($A39="","",COUNTIFS(Qualification_Log!$C$5:$C$304,$A39,Qualification_Log!$U$5:$U$304,"Active"))</f>
        <v/>
      </c>
      <c r="E39" s="32" t="str">
        <f aca="false">IF($A39="","",COUNTIFS(Qualification_Log!$C$5:$C$304,$A39,Qualification_Log!$Q$5:$Q$304,"Yes",Qualification_Log!$R$5:$R$304,"&gt;="&amp;$B$3,Qualification_Log!$R$5:$R$304,"&lt;="&amp;$B$4))</f>
        <v/>
      </c>
      <c r="F39" s="32" t="str">
        <f aca="false">IF($A39="","",COUNTIFS(Qualification_Log!$C$5:$C$304,$A39,Qualification_Log!$G$5:$G$304,"Quality Incident",Qualification_Log!$B$5:$B$304,"&gt;="&amp;$B$3,Qualification_Log!$B$5:$B$304,"&lt;="&amp;$B$4)+COUNTIFS(Qualification_Log!$C$5:$C$304,$A39,Qualification_Log!$G$5:$G$304,"Decertification",Qualification_Log!$O$5:$O$304,"&lt;&gt;",Qualification_Log!$B$5:$B$304,"&gt;="&amp;$B$3,Qualification_Log!$B$5:$B$304,"&lt;="&amp;$B$4))</f>
        <v/>
      </c>
      <c r="G39" s="32" t="str">
        <f aca="false">IF($A39="","",COUNTIFS(Qualification_Log!$C$5:$C$304,$A39,Qualification_Log!$O$5:$O$304,"Critical",Qualification_Log!$B$5:$B$304,"&gt;="&amp;$B$3,Qualification_Log!$B$5:$B$304,"&lt;="&amp;$B$4))</f>
        <v/>
      </c>
      <c r="H39" s="33" t="str">
        <f aca="false">IF($A39="","",SUMIFS(Qualification_Log!$N$5:$N$304,Qualification_Log!$C$5:$C$304,$A39,Qualification_Log!$B$5:$B$304,"&gt;="&amp;$B$3,Qualification_Log!$B$5:$B$304,"&lt;="&amp;$B$4))</f>
        <v/>
      </c>
      <c r="I39" s="32" t="str">
        <f aca="false">IF($A39="","",COUNTIFS(Recognition_Log!$C$5:$C$304,$A39,Recognition_Log!$N$5:$N$304,"Approved",Recognition_Log!$O$5:$O$304,"&gt;="&amp;$B$3,Recognition_Log!$O$5:$O$304,"&lt;="&amp;$B$4))</f>
        <v/>
      </c>
      <c r="J39" s="32" t="str">
        <f aca="false">IF($A39="","",SUMIFS(Recognition_Log!$Q$5:$Q$304,Recognition_Log!$C$5:$C$304,$A39,Recognition_Log!$O$5:$O$304,"&gt;="&amp;$B$3,Recognition_Log!$O$5:$O$304,"&lt;="&amp;$B$4))</f>
        <v/>
      </c>
      <c r="K39" s="32" t="str">
        <f aca="false">IF($A39="","",SUMIFS(Corrective_Action_Log!$T$5:$T$304,Corrective_Action_Log!$C$5:$C$304,$A39,Corrective_Action_Log!$N$5:$N$304,"&gt;="&amp;$B$3,Corrective_Action_Log!$N$5:$N$304,"&lt;="&amp;$B$4))</f>
        <v/>
      </c>
      <c r="L39" s="32" t="str">
        <f aca="false">IF($A39="","",J39-K39)</f>
        <v/>
      </c>
      <c r="M39" s="34" t="str">
        <f aca="false">IF($A39="","",IF(OR(G39&gt;0,E39&gt;0),"Under Review",IF(L39&gt;=Reference_Data!$AL$7,"Exemplary",IF(L39&gt;=Reference_Data!$AL$8,"Commendable",IF(L39&gt;=Reference_Data!$AL$9,"Meets Standard","Needs Improvement")))))</f>
        <v/>
      </c>
      <c r="N39" s="34" t="str">
        <f aca="false">IF($A39="","",IF(OR(G39&gt;0,K39&gt;=Reference_Data!$AL$10),"Ineligible","Eligible"))</f>
        <v/>
      </c>
      <c r="O39" s="32" t="str">
        <f aca="false">IF($A39="","",RANK(L39,$L$7:$L$106))</f>
        <v/>
      </c>
    </row>
    <row r="40" customFormat="false" ht="15" hidden="false" customHeight="false" outlineLevel="0" collapsed="false">
      <c r="A40" s="31" t="str">
        <f aca="false">IF(Employee_Master!A38="","",Employee_Master!A38)</f>
        <v/>
      </c>
      <c r="B40" s="31" t="str">
        <f aca="false">IF($A40="","",Employee_Master!B38)</f>
        <v/>
      </c>
      <c r="C40" s="31" t="str">
        <f aca="false">IF($A40="","",Employee_Master!C38)</f>
        <v/>
      </c>
      <c r="D40" s="32" t="str">
        <f aca="false">IF($A40="","",COUNTIFS(Qualification_Log!$C$5:$C$304,$A40,Qualification_Log!$U$5:$U$304,"Active"))</f>
        <v/>
      </c>
      <c r="E40" s="32" t="str">
        <f aca="false">IF($A40="","",COUNTIFS(Qualification_Log!$C$5:$C$304,$A40,Qualification_Log!$Q$5:$Q$304,"Yes",Qualification_Log!$R$5:$R$304,"&gt;="&amp;$B$3,Qualification_Log!$R$5:$R$304,"&lt;="&amp;$B$4))</f>
        <v/>
      </c>
      <c r="F40" s="32" t="str">
        <f aca="false">IF($A40="","",COUNTIFS(Qualification_Log!$C$5:$C$304,$A40,Qualification_Log!$G$5:$G$304,"Quality Incident",Qualification_Log!$B$5:$B$304,"&gt;="&amp;$B$3,Qualification_Log!$B$5:$B$304,"&lt;="&amp;$B$4)+COUNTIFS(Qualification_Log!$C$5:$C$304,$A40,Qualification_Log!$G$5:$G$304,"Decertification",Qualification_Log!$O$5:$O$304,"&lt;&gt;",Qualification_Log!$B$5:$B$304,"&gt;="&amp;$B$3,Qualification_Log!$B$5:$B$304,"&lt;="&amp;$B$4))</f>
        <v/>
      </c>
      <c r="G40" s="32" t="str">
        <f aca="false">IF($A40="","",COUNTIFS(Qualification_Log!$C$5:$C$304,$A40,Qualification_Log!$O$5:$O$304,"Critical",Qualification_Log!$B$5:$B$304,"&gt;="&amp;$B$3,Qualification_Log!$B$5:$B$304,"&lt;="&amp;$B$4))</f>
        <v/>
      </c>
      <c r="H40" s="33" t="str">
        <f aca="false">IF($A40="","",SUMIFS(Qualification_Log!$N$5:$N$304,Qualification_Log!$C$5:$C$304,$A40,Qualification_Log!$B$5:$B$304,"&gt;="&amp;$B$3,Qualification_Log!$B$5:$B$304,"&lt;="&amp;$B$4))</f>
        <v/>
      </c>
      <c r="I40" s="32" t="str">
        <f aca="false">IF($A40="","",COUNTIFS(Recognition_Log!$C$5:$C$304,$A40,Recognition_Log!$N$5:$N$304,"Approved",Recognition_Log!$O$5:$O$304,"&gt;="&amp;$B$3,Recognition_Log!$O$5:$O$304,"&lt;="&amp;$B$4))</f>
        <v/>
      </c>
      <c r="J40" s="32" t="str">
        <f aca="false">IF($A40="","",SUMIFS(Recognition_Log!$Q$5:$Q$304,Recognition_Log!$C$5:$C$304,$A40,Recognition_Log!$O$5:$O$304,"&gt;="&amp;$B$3,Recognition_Log!$O$5:$O$304,"&lt;="&amp;$B$4))</f>
        <v/>
      </c>
      <c r="K40" s="32" t="str">
        <f aca="false">IF($A40="","",SUMIFS(Corrective_Action_Log!$T$5:$T$304,Corrective_Action_Log!$C$5:$C$304,$A40,Corrective_Action_Log!$N$5:$N$304,"&gt;="&amp;$B$3,Corrective_Action_Log!$N$5:$N$304,"&lt;="&amp;$B$4))</f>
        <v/>
      </c>
      <c r="L40" s="32" t="str">
        <f aca="false">IF($A40="","",J40-K40)</f>
        <v/>
      </c>
      <c r="M40" s="34" t="str">
        <f aca="false">IF($A40="","",IF(OR(G40&gt;0,E40&gt;0),"Under Review",IF(L40&gt;=Reference_Data!$AL$7,"Exemplary",IF(L40&gt;=Reference_Data!$AL$8,"Commendable",IF(L40&gt;=Reference_Data!$AL$9,"Meets Standard","Needs Improvement")))))</f>
        <v/>
      </c>
      <c r="N40" s="34" t="str">
        <f aca="false">IF($A40="","",IF(OR(G40&gt;0,K40&gt;=Reference_Data!$AL$10),"Ineligible","Eligible"))</f>
        <v/>
      </c>
      <c r="O40" s="32" t="str">
        <f aca="false">IF($A40="","",RANK(L40,$L$7:$L$106))</f>
        <v/>
      </c>
    </row>
    <row r="41" customFormat="false" ht="15" hidden="false" customHeight="false" outlineLevel="0" collapsed="false">
      <c r="A41" s="31" t="str">
        <f aca="false">IF(Employee_Master!A39="","",Employee_Master!A39)</f>
        <v/>
      </c>
      <c r="B41" s="31" t="str">
        <f aca="false">IF($A41="","",Employee_Master!B39)</f>
        <v/>
      </c>
      <c r="C41" s="31" t="str">
        <f aca="false">IF($A41="","",Employee_Master!C39)</f>
        <v/>
      </c>
      <c r="D41" s="32" t="str">
        <f aca="false">IF($A41="","",COUNTIFS(Qualification_Log!$C$5:$C$304,$A41,Qualification_Log!$U$5:$U$304,"Active"))</f>
        <v/>
      </c>
      <c r="E41" s="32" t="str">
        <f aca="false">IF($A41="","",COUNTIFS(Qualification_Log!$C$5:$C$304,$A41,Qualification_Log!$Q$5:$Q$304,"Yes",Qualification_Log!$R$5:$R$304,"&gt;="&amp;$B$3,Qualification_Log!$R$5:$R$304,"&lt;="&amp;$B$4))</f>
        <v/>
      </c>
      <c r="F41" s="32" t="str">
        <f aca="false">IF($A41="","",COUNTIFS(Qualification_Log!$C$5:$C$304,$A41,Qualification_Log!$G$5:$G$304,"Quality Incident",Qualification_Log!$B$5:$B$304,"&gt;="&amp;$B$3,Qualification_Log!$B$5:$B$304,"&lt;="&amp;$B$4)+COUNTIFS(Qualification_Log!$C$5:$C$304,$A41,Qualification_Log!$G$5:$G$304,"Decertification",Qualification_Log!$O$5:$O$304,"&lt;&gt;",Qualification_Log!$B$5:$B$304,"&gt;="&amp;$B$3,Qualification_Log!$B$5:$B$304,"&lt;="&amp;$B$4))</f>
        <v/>
      </c>
      <c r="G41" s="32" t="str">
        <f aca="false">IF($A41="","",COUNTIFS(Qualification_Log!$C$5:$C$304,$A41,Qualification_Log!$O$5:$O$304,"Critical",Qualification_Log!$B$5:$B$304,"&gt;="&amp;$B$3,Qualification_Log!$B$5:$B$304,"&lt;="&amp;$B$4))</f>
        <v/>
      </c>
      <c r="H41" s="33" t="str">
        <f aca="false">IF($A41="","",SUMIFS(Qualification_Log!$N$5:$N$304,Qualification_Log!$C$5:$C$304,$A41,Qualification_Log!$B$5:$B$304,"&gt;="&amp;$B$3,Qualification_Log!$B$5:$B$304,"&lt;="&amp;$B$4))</f>
        <v/>
      </c>
      <c r="I41" s="32" t="str">
        <f aca="false">IF($A41="","",COUNTIFS(Recognition_Log!$C$5:$C$304,$A41,Recognition_Log!$N$5:$N$304,"Approved",Recognition_Log!$O$5:$O$304,"&gt;="&amp;$B$3,Recognition_Log!$O$5:$O$304,"&lt;="&amp;$B$4))</f>
        <v/>
      </c>
      <c r="J41" s="32" t="str">
        <f aca="false">IF($A41="","",SUMIFS(Recognition_Log!$Q$5:$Q$304,Recognition_Log!$C$5:$C$304,$A41,Recognition_Log!$O$5:$O$304,"&gt;="&amp;$B$3,Recognition_Log!$O$5:$O$304,"&lt;="&amp;$B$4))</f>
        <v/>
      </c>
      <c r="K41" s="32" t="str">
        <f aca="false">IF($A41="","",SUMIFS(Corrective_Action_Log!$T$5:$T$304,Corrective_Action_Log!$C$5:$C$304,$A41,Corrective_Action_Log!$N$5:$N$304,"&gt;="&amp;$B$3,Corrective_Action_Log!$N$5:$N$304,"&lt;="&amp;$B$4))</f>
        <v/>
      </c>
      <c r="L41" s="32" t="str">
        <f aca="false">IF($A41="","",J41-K41)</f>
        <v/>
      </c>
      <c r="M41" s="34" t="str">
        <f aca="false">IF($A41="","",IF(OR(G41&gt;0,E41&gt;0),"Under Review",IF(L41&gt;=Reference_Data!$AL$7,"Exemplary",IF(L41&gt;=Reference_Data!$AL$8,"Commendable",IF(L41&gt;=Reference_Data!$AL$9,"Meets Standard","Needs Improvement")))))</f>
        <v/>
      </c>
      <c r="N41" s="34" t="str">
        <f aca="false">IF($A41="","",IF(OR(G41&gt;0,K41&gt;=Reference_Data!$AL$10),"Ineligible","Eligible"))</f>
        <v/>
      </c>
      <c r="O41" s="32" t="str">
        <f aca="false">IF($A41="","",RANK(L41,$L$7:$L$106))</f>
        <v/>
      </c>
    </row>
    <row r="42" customFormat="false" ht="15" hidden="false" customHeight="false" outlineLevel="0" collapsed="false">
      <c r="A42" s="31" t="str">
        <f aca="false">IF(Employee_Master!A40="","",Employee_Master!A40)</f>
        <v/>
      </c>
      <c r="B42" s="31" t="str">
        <f aca="false">IF($A42="","",Employee_Master!B40)</f>
        <v/>
      </c>
      <c r="C42" s="31" t="str">
        <f aca="false">IF($A42="","",Employee_Master!C40)</f>
        <v/>
      </c>
      <c r="D42" s="32" t="str">
        <f aca="false">IF($A42="","",COUNTIFS(Qualification_Log!$C$5:$C$304,$A42,Qualification_Log!$U$5:$U$304,"Active"))</f>
        <v/>
      </c>
      <c r="E42" s="32" t="str">
        <f aca="false">IF($A42="","",COUNTIFS(Qualification_Log!$C$5:$C$304,$A42,Qualification_Log!$Q$5:$Q$304,"Yes",Qualification_Log!$R$5:$R$304,"&gt;="&amp;$B$3,Qualification_Log!$R$5:$R$304,"&lt;="&amp;$B$4))</f>
        <v/>
      </c>
      <c r="F42" s="32" t="str">
        <f aca="false">IF($A42="","",COUNTIFS(Qualification_Log!$C$5:$C$304,$A42,Qualification_Log!$G$5:$G$304,"Quality Incident",Qualification_Log!$B$5:$B$304,"&gt;="&amp;$B$3,Qualification_Log!$B$5:$B$304,"&lt;="&amp;$B$4)+COUNTIFS(Qualification_Log!$C$5:$C$304,$A42,Qualification_Log!$G$5:$G$304,"Decertification",Qualification_Log!$O$5:$O$304,"&lt;&gt;",Qualification_Log!$B$5:$B$304,"&gt;="&amp;$B$3,Qualification_Log!$B$5:$B$304,"&lt;="&amp;$B$4))</f>
        <v/>
      </c>
      <c r="G42" s="32" t="str">
        <f aca="false">IF($A42="","",COUNTIFS(Qualification_Log!$C$5:$C$304,$A42,Qualification_Log!$O$5:$O$304,"Critical",Qualification_Log!$B$5:$B$304,"&gt;="&amp;$B$3,Qualification_Log!$B$5:$B$304,"&lt;="&amp;$B$4))</f>
        <v/>
      </c>
      <c r="H42" s="33" t="str">
        <f aca="false">IF($A42="","",SUMIFS(Qualification_Log!$N$5:$N$304,Qualification_Log!$C$5:$C$304,$A42,Qualification_Log!$B$5:$B$304,"&gt;="&amp;$B$3,Qualification_Log!$B$5:$B$304,"&lt;="&amp;$B$4))</f>
        <v/>
      </c>
      <c r="I42" s="32" t="str">
        <f aca="false">IF($A42="","",COUNTIFS(Recognition_Log!$C$5:$C$304,$A42,Recognition_Log!$N$5:$N$304,"Approved",Recognition_Log!$O$5:$O$304,"&gt;="&amp;$B$3,Recognition_Log!$O$5:$O$304,"&lt;="&amp;$B$4))</f>
        <v/>
      </c>
      <c r="J42" s="32" t="str">
        <f aca="false">IF($A42="","",SUMIFS(Recognition_Log!$Q$5:$Q$304,Recognition_Log!$C$5:$C$304,$A42,Recognition_Log!$O$5:$O$304,"&gt;="&amp;$B$3,Recognition_Log!$O$5:$O$304,"&lt;="&amp;$B$4))</f>
        <v/>
      </c>
      <c r="K42" s="32" t="str">
        <f aca="false">IF($A42="","",SUMIFS(Corrective_Action_Log!$T$5:$T$304,Corrective_Action_Log!$C$5:$C$304,$A42,Corrective_Action_Log!$N$5:$N$304,"&gt;="&amp;$B$3,Corrective_Action_Log!$N$5:$N$304,"&lt;="&amp;$B$4))</f>
        <v/>
      </c>
      <c r="L42" s="32" t="str">
        <f aca="false">IF($A42="","",J42-K42)</f>
        <v/>
      </c>
      <c r="M42" s="34" t="str">
        <f aca="false">IF($A42="","",IF(OR(G42&gt;0,E42&gt;0),"Under Review",IF(L42&gt;=Reference_Data!$AL$7,"Exemplary",IF(L42&gt;=Reference_Data!$AL$8,"Commendable",IF(L42&gt;=Reference_Data!$AL$9,"Meets Standard","Needs Improvement")))))</f>
        <v/>
      </c>
      <c r="N42" s="34" t="str">
        <f aca="false">IF($A42="","",IF(OR(G42&gt;0,K42&gt;=Reference_Data!$AL$10),"Ineligible","Eligible"))</f>
        <v/>
      </c>
      <c r="O42" s="32" t="str">
        <f aca="false">IF($A42="","",RANK(L42,$L$7:$L$106))</f>
        <v/>
      </c>
    </row>
    <row r="43" customFormat="false" ht="15" hidden="false" customHeight="false" outlineLevel="0" collapsed="false">
      <c r="A43" s="31" t="str">
        <f aca="false">IF(Employee_Master!A41="","",Employee_Master!A41)</f>
        <v/>
      </c>
      <c r="B43" s="31" t="str">
        <f aca="false">IF($A43="","",Employee_Master!B41)</f>
        <v/>
      </c>
      <c r="C43" s="31" t="str">
        <f aca="false">IF($A43="","",Employee_Master!C41)</f>
        <v/>
      </c>
      <c r="D43" s="32" t="str">
        <f aca="false">IF($A43="","",COUNTIFS(Qualification_Log!$C$5:$C$304,$A43,Qualification_Log!$U$5:$U$304,"Active"))</f>
        <v/>
      </c>
      <c r="E43" s="32" t="str">
        <f aca="false">IF($A43="","",COUNTIFS(Qualification_Log!$C$5:$C$304,$A43,Qualification_Log!$Q$5:$Q$304,"Yes",Qualification_Log!$R$5:$R$304,"&gt;="&amp;$B$3,Qualification_Log!$R$5:$R$304,"&lt;="&amp;$B$4))</f>
        <v/>
      </c>
      <c r="F43" s="32" t="str">
        <f aca="false">IF($A43="","",COUNTIFS(Qualification_Log!$C$5:$C$304,$A43,Qualification_Log!$G$5:$G$304,"Quality Incident",Qualification_Log!$B$5:$B$304,"&gt;="&amp;$B$3,Qualification_Log!$B$5:$B$304,"&lt;="&amp;$B$4)+COUNTIFS(Qualification_Log!$C$5:$C$304,$A43,Qualification_Log!$G$5:$G$304,"Decertification",Qualification_Log!$O$5:$O$304,"&lt;&gt;",Qualification_Log!$B$5:$B$304,"&gt;="&amp;$B$3,Qualification_Log!$B$5:$B$304,"&lt;="&amp;$B$4))</f>
        <v/>
      </c>
      <c r="G43" s="32" t="str">
        <f aca="false">IF($A43="","",COUNTIFS(Qualification_Log!$C$5:$C$304,$A43,Qualification_Log!$O$5:$O$304,"Critical",Qualification_Log!$B$5:$B$304,"&gt;="&amp;$B$3,Qualification_Log!$B$5:$B$304,"&lt;="&amp;$B$4))</f>
        <v/>
      </c>
      <c r="H43" s="33" t="str">
        <f aca="false">IF($A43="","",SUMIFS(Qualification_Log!$N$5:$N$304,Qualification_Log!$C$5:$C$304,$A43,Qualification_Log!$B$5:$B$304,"&gt;="&amp;$B$3,Qualification_Log!$B$5:$B$304,"&lt;="&amp;$B$4))</f>
        <v/>
      </c>
      <c r="I43" s="32" t="str">
        <f aca="false">IF($A43="","",COUNTIFS(Recognition_Log!$C$5:$C$304,$A43,Recognition_Log!$N$5:$N$304,"Approved",Recognition_Log!$O$5:$O$304,"&gt;="&amp;$B$3,Recognition_Log!$O$5:$O$304,"&lt;="&amp;$B$4))</f>
        <v/>
      </c>
      <c r="J43" s="32" t="str">
        <f aca="false">IF($A43="","",SUMIFS(Recognition_Log!$Q$5:$Q$304,Recognition_Log!$C$5:$C$304,$A43,Recognition_Log!$O$5:$O$304,"&gt;="&amp;$B$3,Recognition_Log!$O$5:$O$304,"&lt;="&amp;$B$4))</f>
        <v/>
      </c>
      <c r="K43" s="32" t="str">
        <f aca="false">IF($A43="","",SUMIFS(Corrective_Action_Log!$T$5:$T$304,Corrective_Action_Log!$C$5:$C$304,$A43,Corrective_Action_Log!$N$5:$N$304,"&gt;="&amp;$B$3,Corrective_Action_Log!$N$5:$N$304,"&lt;="&amp;$B$4))</f>
        <v/>
      </c>
      <c r="L43" s="32" t="str">
        <f aca="false">IF($A43="","",J43-K43)</f>
        <v/>
      </c>
      <c r="M43" s="34" t="str">
        <f aca="false">IF($A43="","",IF(OR(G43&gt;0,E43&gt;0),"Under Review",IF(L43&gt;=Reference_Data!$AL$7,"Exemplary",IF(L43&gt;=Reference_Data!$AL$8,"Commendable",IF(L43&gt;=Reference_Data!$AL$9,"Meets Standard","Needs Improvement")))))</f>
        <v/>
      </c>
      <c r="N43" s="34" t="str">
        <f aca="false">IF($A43="","",IF(OR(G43&gt;0,K43&gt;=Reference_Data!$AL$10),"Ineligible","Eligible"))</f>
        <v/>
      </c>
      <c r="O43" s="32" t="str">
        <f aca="false">IF($A43="","",RANK(L43,$L$7:$L$106))</f>
        <v/>
      </c>
    </row>
    <row r="44" customFormat="false" ht="15" hidden="false" customHeight="false" outlineLevel="0" collapsed="false">
      <c r="A44" s="31" t="str">
        <f aca="false">IF(Employee_Master!A42="","",Employee_Master!A42)</f>
        <v/>
      </c>
      <c r="B44" s="31" t="str">
        <f aca="false">IF($A44="","",Employee_Master!B42)</f>
        <v/>
      </c>
      <c r="C44" s="31" t="str">
        <f aca="false">IF($A44="","",Employee_Master!C42)</f>
        <v/>
      </c>
      <c r="D44" s="32" t="str">
        <f aca="false">IF($A44="","",COUNTIFS(Qualification_Log!$C$5:$C$304,$A44,Qualification_Log!$U$5:$U$304,"Active"))</f>
        <v/>
      </c>
      <c r="E44" s="32" t="str">
        <f aca="false">IF($A44="","",COUNTIFS(Qualification_Log!$C$5:$C$304,$A44,Qualification_Log!$Q$5:$Q$304,"Yes",Qualification_Log!$R$5:$R$304,"&gt;="&amp;$B$3,Qualification_Log!$R$5:$R$304,"&lt;="&amp;$B$4))</f>
        <v/>
      </c>
      <c r="F44" s="32" t="str">
        <f aca="false">IF($A44="","",COUNTIFS(Qualification_Log!$C$5:$C$304,$A44,Qualification_Log!$G$5:$G$304,"Quality Incident",Qualification_Log!$B$5:$B$304,"&gt;="&amp;$B$3,Qualification_Log!$B$5:$B$304,"&lt;="&amp;$B$4)+COUNTIFS(Qualification_Log!$C$5:$C$304,$A44,Qualification_Log!$G$5:$G$304,"Decertification",Qualification_Log!$O$5:$O$304,"&lt;&gt;",Qualification_Log!$B$5:$B$304,"&gt;="&amp;$B$3,Qualification_Log!$B$5:$B$304,"&lt;="&amp;$B$4))</f>
        <v/>
      </c>
      <c r="G44" s="32" t="str">
        <f aca="false">IF($A44="","",COUNTIFS(Qualification_Log!$C$5:$C$304,$A44,Qualification_Log!$O$5:$O$304,"Critical",Qualification_Log!$B$5:$B$304,"&gt;="&amp;$B$3,Qualification_Log!$B$5:$B$304,"&lt;="&amp;$B$4))</f>
        <v/>
      </c>
      <c r="H44" s="33" t="str">
        <f aca="false">IF($A44="","",SUMIFS(Qualification_Log!$N$5:$N$304,Qualification_Log!$C$5:$C$304,$A44,Qualification_Log!$B$5:$B$304,"&gt;="&amp;$B$3,Qualification_Log!$B$5:$B$304,"&lt;="&amp;$B$4))</f>
        <v/>
      </c>
      <c r="I44" s="32" t="str">
        <f aca="false">IF($A44="","",COUNTIFS(Recognition_Log!$C$5:$C$304,$A44,Recognition_Log!$N$5:$N$304,"Approved",Recognition_Log!$O$5:$O$304,"&gt;="&amp;$B$3,Recognition_Log!$O$5:$O$304,"&lt;="&amp;$B$4))</f>
        <v/>
      </c>
      <c r="J44" s="32" t="str">
        <f aca="false">IF($A44="","",SUMIFS(Recognition_Log!$Q$5:$Q$304,Recognition_Log!$C$5:$C$304,$A44,Recognition_Log!$O$5:$O$304,"&gt;="&amp;$B$3,Recognition_Log!$O$5:$O$304,"&lt;="&amp;$B$4))</f>
        <v/>
      </c>
      <c r="K44" s="32" t="str">
        <f aca="false">IF($A44="","",SUMIFS(Corrective_Action_Log!$T$5:$T$304,Corrective_Action_Log!$C$5:$C$304,$A44,Corrective_Action_Log!$N$5:$N$304,"&gt;="&amp;$B$3,Corrective_Action_Log!$N$5:$N$304,"&lt;="&amp;$B$4))</f>
        <v/>
      </c>
      <c r="L44" s="32" t="str">
        <f aca="false">IF($A44="","",J44-K44)</f>
        <v/>
      </c>
      <c r="M44" s="34" t="str">
        <f aca="false">IF($A44="","",IF(OR(G44&gt;0,E44&gt;0),"Under Review",IF(L44&gt;=Reference_Data!$AL$7,"Exemplary",IF(L44&gt;=Reference_Data!$AL$8,"Commendable",IF(L44&gt;=Reference_Data!$AL$9,"Meets Standard","Needs Improvement")))))</f>
        <v/>
      </c>
      <c r="N44" s="34" t="str">
        <f aca="false">IF($A44="","",IF(OR(G44&gt;0,K44&gt;=Reference_Data!$AL$10),"Ineligible","Eligible"))</f>
        <v/>
      </c>
      <c r="O44" s="32" t="str">
        <f aca="false">IF($A44="","",RANK(L44,$L$7:$L$106))</f>
        <v/>
      </c>
    </row>
    <row r="45" customFormat="false" ht="15" hidden="false" customHeight="false" outlineLevel="0" collapsed="false">
      <c r="A45" s="31" t="str">
        <f aca="false">IF(Employee_Master!A43="","",Employee_Master!A43)</f>
        <v/>
      </c>
      <c r="B45" s="31" t="str">
        <f aca="false">IF($A45="","",Employee_Master!B43)</f>
        <v/>
      </c>
      <c r="C45" s="31" t="str">
        <f aca="false">IF($A45="","",Employee_Master!C43)</f>
        <v/>
      </c>
      <c r="D45" s="32" t="str">
        <f aca="false">IF($A45="","",COUNTIFS(Qualification_Log!$C$5:$C$304,$A45,Qualification_Log!$U$5:$U$304,"Active"))</f>
        <v/>
      </c>
      <c r="E45" s="32" t="str">
        <f aca="false">IF($A45="","",COUNTIFS(Qualification_Log!$C$5:$C$304,$A45,Qualification_Log!$Q$5:$Q$304,"Yes",Qualification_Log!$R$5:$R$304,"&gt;="&amp;$B$3,Qualification_Log!$R$5:$R$304,"&lt;="&amp;$B$4))</f>
        <v/>
      </c>
      <c r="F45" s="32" t="str">
        <f aca="false">IF($A45="","",COUNTIFS(Qualification_Log!$C$5:$C$304,$A45,Qualification_Log!$G$5:$G$304,"Quality Incident",Qualification_Log!$B$5:$B$304,"&gt;="&amp;$B$3,Qualification_Log!$B$5:$B$304,"&lt;="&amp;$B$4)+COUNTIFS(Qualification_Log!$C$5:$C$304,$A45,Qualification_Log!$G$5:$G$304,"Decertification",Qualification_Log!$O$5:$O$304,"&lt;&gt;",Qualification_Log!$B$5:$B$304,"&gt;="&amp;$B$3,Qualification_Log!$B$5:$B$304,"&lt;="&amp;$B$4))</f>
        <v/>
      </c>
      <c r="G45" s="32" t="str">
        <f aca="false">IF($A45="","",COUNTIFS(Qualification_Log!$C$5:$C$304,$A45,Qualification_Log!$O$5:$O$304,"Critical",Qualification_Log!$B$5:$B$304,"&gt;="&amp;$B$3,Qualification_Log!$B$5:$B$304,"&lt;="&amp;$B$4))</f>
        <v/>
      </c>
      <c r="H45" s="33" t="str">
        <f aca="false">IF($A45="","",SUMIFS(Qualification_Log!$N$5:$N$304,Qualification_Log!$C$5:$C$304,$A45,Qualification_Log!$B$5:$B$304,"&gt;="&amp;$B$3,Qualification_Log!$B$5:$B$304,"&lt;="&amp;$B$4))</f>
        <v/>
      </c>
      <c r="I45" s="32" t="str">
        <f aca="false">IF($A45="","",COUNTIFS(Recognition_Log!$C$5:$C$304,$A45,Recognition_Log!$N$5:$N$304,"Approved",Recognition_Log!$O$5:$O$304,"&gt;="&amp;$B$3,Recognition_Log!$O$5:$O$304,"&lt;="&amp;$B$4))</f>
        <v/>
      </c>
      <c r="J45" s="32" t="str">
        <f aca="false">IF($A45="","",SUMIFS(Recognition_Log!$Q$5:$Q$304,Recognition_Log!$C$5:$C$304,$A45,Recognition_Log!$O$5:$O$304,"&gt;="&amp;$B$3,Recognition_Log!$O$5:$O$304,"&lt;="&amp;$B$4))</f>
        <v/>
      </c>
      <c r="K45" s="32" t="str">
        <f aca="false">IF($A45="","",SUMIFS(Corrective_Action_Log!$T$5:$T$304,Corrective_Action_Log!$C$5:$C$304,$A45,Corrective_Action_Log!$N$5:$N$304,"&gt;="&amp;$B$3,Corrective_Action_Log!$N$5:$N$304,"&lt;="&amp;$B$4))</f>
        <v/>
      </c>
      <c r="L45" s="32" t="str">
        <f aca="false">IF($A45="","",J45-K45)</f>
        <v/>
      </c>
      <c r="M45" s="34" t="str">
        <f aca="false">IF($A45="","",IF(OR(G45&gt;0,E45&gt;0),"Under Review",IF(L45&gt;=Reference_Data!$AL$7,"Exemplary",IF(L45&gt;=Reference_Data!$AL$8,"Commendable",IF(L45&gt;=Reference_Data!$AL$9,"Meets Standard","Needs Improvement")))))</f>
        <v/>
      </c>
      <c r="N45" s="34" t="str">
        <f aca="false">IF($A45="","",IF(OR(G45&gt;0,K45&gt;=Reference_Data!$AL$10),"Ineligible","Eligible"))</f>
        <v/>
      </c>
      <c r="O45" s="32" t="str">
        <f aca="false">IF($A45="","",RANK(L45,$L$7:$L$106))</f>
        <v/>
      </c>
    </row>
    <row r="46" customFormat="false" ht="15" hidden="false" customHeight="false" outlineLevel="0" collapsed="false">
      <c r="A46" s="31" t="str">
        <f aca="false">IF(Employee_Master!A44="","",Employee_Master!A44)</f>
        <v/>
      </c>
      <c r="B46" s="31" t="str">
        <f aca="false">IF($A46="","",Employee_Master!B44)</f>
        <v/>
      </c>
      <c r="C46" s="31" t="str">
        <f aca="false">IF($A46="","",Employee_Master!C44)</f>
        <v/>
      </c>
      <c r="D46" s="32" t="str">
        <f aca="false">IF($A46="","",COUNTIFS(Qualification_Log!$C$5:$C$304,$A46,Qualification_Log!$U$5:$U$304,"Active"))</f>
        <v/>
      </c>
      <c r="E46" s="32" t="str">
        <f aca="false">IF($A46="","",COUNTIFS(Qualification_Log!$C$5:$C$304,$A46,Qualification_Log!$Q$5:$Q$304,"Yes",Qualification_Log!$R$5:$R$304,"&gt;="&amp;$B$3,Qualification_Log!$R$5:$R$304,"&lt;="&amp;$B$4))</f>
        <v/>
      </c>
      <c r="F46" s="32" t="str">
        <f aca="false">IF($A46="","",COUNTIFS(Qualification_Log!$C$5:$C$304,$A46,Qualification_Log!$G$5:$G$304,"Quality Incident",Qualification_Log!$B$5:$B$304,"&gt;="&amp;$B$3,Qualification_Log!$B$5:$B$304,"&lt;="&amp;$B$4)+COUNTIFS(Qualification_Log!$C$5:$C$304,$A46,Qualification_Log!$G$5:$G$304,"Decertification",Qualification_Log!$O$5:$O$304,"&lt;&gt;",Qualification_Log!$B$5:$B$304,"&gt;="&amp;$B$3,Qualification_Log!$B$5:$B$304,"&lt;="&amp;$B$4))</f>
        <v/>
      </c>
      <c r="G46" s="32" t="str">
        <f aca="false">IF($A46="","",COUNTIFS(Qualification_Log!$C$5:$C$304,$A46,Qualification_Log!$O$5:$O$304,"Critical",Qualification_Log!$B$5:$B$304,"&gt;="&amp;$B$3,Qualification_Log!$B$5:$B$304,"&lt;="&amp;$B$4))</f>
        <v/>
      </c>
      <c r="H46" s="33" t="str">
        <f aca="false">IF($A46="","",SUMIFS(Qualification_Log!$N$5:$N$304,Qualification_Log!$C$5:$C$304,$A46,Qualification_Log!$B$5:$B$304,"&gt;="&amp;$B$3,Qualification_Log!$B$5:$B$304,"&lt;="&amp;$B$4))</f>
        <v/>
      </c>
      <c r="I46" s="32" t="str">
        <f aca="false">IF($A46="","",COUNTIFS(Recognition_Log!$C$5:$C$304,$A46,Recognition_Log!$N$5:$N$304,"Approved",Recognition_Log!$O$5:$O$304,"&gt;="&amp;$B$3,Recognition_Log!$O$5:$O$304,"&lt;="&amp;$B$4))</f>
        <v/>
      </c>
      <c r="J46" s="32" t="str">
        <f aca="false">IF($A46="","",SUMIFS(Recognition_Log!$Q$5:$Q$304,Recognition_Log!$C$5:$C$304,$A46,Recognition_Log!$O$5:$O$304,"&gt;="&amp;$B$3,Recognition_Log!$O$5:$O$304,"&lt;="&amp;$B$4))</f>
        <v/>
      </c>
      <c r="K46" s="32" t="str">
        <f aca="false">IF($A46="","",SUMIFS(Corrective_Action_Log!$T$5:$T$304,Corrective_Action_Log!$C$5:$C$304,$A46,Corrective_Action_Log!$N$5:$N$304,"&gt;="&amp;$B$3,Corrective_Action_Log!$N$5:$N$304,"&lt;="&amp;$B$4))</f>
        <v/>
      </c>
      <c r="L46" s="32" t="str">
        <f aca="false">IF($A46="","",J46-K46)</f>
        <v/>
      </c>
      <c r="M46" s="34" t="str">
        <f aca="false">IF($A46="","",IF(OR(G46&gt;0,E46&gt;0),"Under Review",IF(L46&gt;=Reference_Data!$AL$7,"Exemplary",IF(L46&gt;=Reference_Data!$AL$8,"Commendable",IF(L46&gt;=Reference_Data!$AL$9,"Meets Standard","Needs Improvement")))))</f>
        <v/>
      </c>
      <c r="N46" s="34" t="str">
        <f aca="false">IF($A46="","",IF(OR(G46&gt;0,K46&gt;=Reference_Data!$AL$10),"Ineligible","Eligible"))</f>
        <v/>
      </c>
      <c r="O46" s="32" t="str">
        <f aca="false">IF($A46="","",RANK(L46,$L$7:$L$106))</f>
        <v/>
      </c>
    </row>
    <row r="47" customFormat="false" ht="15" hidden="false" customHeight="false" outlineLevel="0" collapsed="false">
      <c r="A47" s="31" t="str">
        <f aca="false">IF(Employee_Master!A45="","",Employee_Master!A45)</f>
        <v/>
      </c>
      <c r="B47" s="31" t="str">
        <f aca="false">IF($A47="","",Employee_Master!B45)</f>
        <v/>
      </c>
      <c r="C47" s="31" t="str">
        <f aca="false">IF($A47="","",Employee_Master!C45)</f>
        <v/>
      </c>
      <c r="D47" s="32" t="str">
        <f aca="false">IF($A47="","",COUNTIFS(Qualification_Log!$C$5:$C$304,$A47,Qualification_Log!$U$5:$U$304,"Active"))</f>
        <v/>
      </c>
      <c r="E47" s="32" t="str">
        <f aca="false">IF($A47="","",COUNTIFS(Qualification_Log!$C$5:$C$304,$A47,Qualification_Log!$Q$5:$Q$304,"Yes",Qualification_Log!$R$5:$R$304,"&gt;="&amp;$B$3,Qualification_Log!$R$5:$R$304,"&lt;="&amp;$B$4))</f>
        <v/>
      </c>
      <c r="F47" s="32" t="str">
        <f aca="false">IF($A47="","",COUNTIFS(Qualification_Log!$C$5:$C$304,$A47,Qualification_Log!$G$5:$G$304,"Quality Incident",Qualification_Log!$B$5:$B$304,"&gt;="&amp;$B$3,Qualification_Log!$B$5:$B$304,"&lt;="&amp;$B$4)+COUNTIFS(Qualification_Log!$C$5:$C$304,$A47,Qualification_Log!$G$5:$G$304,"Decertification",Qualification_Log!$O$5:$O$304,"&lt;&gt;",Qualification_Log!$B$5:$B$304,"&gt;="&amp;$B$3,Qualification_Log!$B$5:$B$304,"&lt;="&amp;$B$4))</f>
        <v/>
      </c>
      <c r="G47" s="32" t="str">
        <f aca="false">IF($A47="","",COUNTIFS(Qualification_Log!$C$5:$C$304,$A47,Qualification_Log!$O$5:$O$304,"Critical",Qualification_Log!$B$5:$B$304,"&gt;="&amp;$B$3,Qualification_Log!$B$5:$B$304,"&lt;="&amp;$B$4))</f>
        <v/>
      </c>
      <c r="H47" s="33" t="str">
        <f aca="false">IF($A47="","",SUMIFS(Qualification_Log!$N$5:$N$304,Qualification_Log!$C$5:$C$304,$A47,Qualification_Log!$B$5:$B$304,"&gt;="&amp;$B$3,Qualification_Log!$B$5:$B$304,"&lt;="&amp;$B$4))</f>
        <v/>
      </c>
      <c r="I47" s="32" t="str">
        <f aca="false">IF($A47="","",COUNTIFS(Recognition_Log!$C$5:$C$304,$A47,Recognition_Log!$N$5:$N$304,"Approved",Recognition_Log!$O$5:$O$304,"&gt;="&amp;$B$3,Recognition_Log!$O$5:$O$304,"&lt;="&amp;$B$4))</f>
        <v/>
      </c>
      <c r="J47" s="32" t="str">
        <f aca="false">IF($A47="","",SUMIFS(Recognition_Log!$Q$5:$Q$304,Recognition_Log!$C$5:$C$304,$A47,Recognition_Log!$O$5:$O$304,"&gt;="&amp;$B$3,Recognition_Log!$O$5:$O$304,"&lt;="&amp;$B$4))</f>
        <v/>
      </c>
      <c r="K47" s="32" t="str">
        <f aca="false">IF($A47="","",SUMIFS(Corrective_Action_Log!$T$5:$T$304,Corrective_Action_Log!$C$5:$C$304,$A47,Corrective_Action_Log!$N$5:$N$304,"&gt;="&amp;$B$3,Corrective_Action_Log!$N$5:$N$304,"&lt;="&amp;$B$4))</f>
        <v/>
      </c>
      <c r="L47" s="32" t="str">
        <f aca="false">IF($A47="","",J47-K47)</f>
        <v/>
      </c>
      <c r="M47" s="34" t="str">
        <f aca="false">IF($A47="","",IF(OR(G47&gt;0,E47&gt;0),"Under Review",IF(L47&gt;=Reference_Data!$AL$7,"Exemplary",IF(L47&gt;=Reference_Data!$AL$8,"Commendable",IF(L47&gt;=Reference_Data!$AL$9,"Meets Standard","Needs Improvement")))))</f>
        <v/>
      </c>
      <c r="N47" s="34" t="str">
        <f aca="false">IF($A47="","",IF(OR(G47&gt;0,K47&gt;=Reference_Data!$AL$10),"Ineligible","Eligible"))</f>
        <v/>
      </c>
      <c r="O47" s="32" t="str">
        <f aca="false">IF($A47="","",RANK(L47,$L$7:$L$106))</f>
        <v/>
      </c>
    </row>
    <row r="48" customFormat="false" ht="15" hidden="false" customHeight="false" outlineLevel="0" collapsed="false">
      <c r="A48" s="31" t="str">
        <f aca="false">IF(Employee_Master!A46="","",Employee_Master!A46)</f>
        <v/>
      </c>
      <c r="B48" s="31" t="str">
        <f aca="false">IF($A48="","",Employee_Master!B46)</f>
        <v/>
      </c>
      <c r="C48" s="31" t="str">
        <f aca="false">IF($A48="","",Employee_Master!C46)</f>
        <v/>
      </c>
      <c r="D48" s="32" t="str">
        <f aca="false">IF($A48="","",COUNTIFS(Qualification_Log!$C$5:$C$304,$A48,Qualification_Log!$U$5:$U$304,"Active"))</f>
        <v/>
      </c>
      <c r="E48" s="32" t="str">
        <f aca="false">IF($A48="","",COUNTIFS(Qualification_Log!$C$5:$C$304,$A48,Qualification_Log!$Q$5:$Q$304,"Yes",Qualification_Log!$R$5:$R$304,"&gt;="&amp;$B$3,Qualification_Log!$R$5:$R$304,"&lt;="&amp;$B$4))</f>
        <v/>
      </c>
      <c r="F48" s="32" t="str">
        <f aca="false">IF($A48="","",COUNTIFS(Qualification_Log!$C$5:$C$304,$A48,Qualification_Log!$G$5:$G$304,"Quality Incident",Qualification_Log!$B$5:$B$304,"&gt;="&amp;$B$3,Qualification_Log!$B$5:$B$304,"&lt;="&amp;$B$4)+COUNTIFS(Qualification_Log!$C$5:$C$304,$A48,Qualification_Log!$G$5:$G$304,"Decertification",Qualification_Log!$O$5:$O$304,"&lt;&gt;",Qualification_Log!$B$5:$B$304,"&gt;="&amp;$B$3,Qualification_Log!$B$5:$B$304,"&lt;="&amp;$B$4))</f>
        <v/>
      </c>
      <c r="G48" s="32" t="str">
        <f aca="false">IF($A48="","",COUNTIFS(Qualification_Log!$C$5:$C$304,$A48,Qualification_Log!$O$5:$O$304,"Critical",Qualification_Log!$B$5:$B$304,"&gt;="&amp;$B$3,Qualification_Log!$B$5:$B$304,"&lt;="&amp;$B$4))</f>
        <v/>
      </c>
      <c r="H48" s="33" t="str">
        <f aca="false">IF($A48="","",SUMIFS(Qualification_Log!$N$5:$N$304,Qualification_Log!$C$5:$C$304,$A48,Qualification_Log!$B$5:$B$304,"&gt;="&amp;$B$3,Qualification_Log!$B$5:$B$304,"&lt;="&amp;$B$4))</f>
        <v/>
      </c>
      <c r="I48" s="32" t="str">
        <f aca="false">IF($A48="","",COUNTIFS(Recognition_Log!$C$5:$C$304,$A48,Recognition_Log!$N$5:$N$304,"Approved",Recognition_Log!$O$5:$O$304,"&gt;="&amp;$B$3,Recognition_Log!$O$5:$O$304,"&lt;="&amp;$B$4))</f>
        <v/>
      </c>
      <c r="J48" s="32" t="str">
        <f aca="false">IF($A48="","",SUMIFS(Recognition_Log!$Q$5:$Q$304,Recognition_Log!$C$5:$C$304,$A48,Recognition_Log!$O$5:$O$304,"&gt;="&amp;$B$3,Recognition_Log!$O$5:$O$304,"&lt;="&amp;$B$4))</f>
        <v/>
      </c>
      <c r="K48" s="32" t="str">
        <f aca="false">IF($A48="","",SUMIFS(Corrective_Action_Log!$T$5:$T$304,Corrective_Action_Log!$C$5:$C$304,$A48,Corrective_Action_Log!$N$5:$N$304,"&gt;="&amp;$B$3,Corrective_Action_Log!$N$5:$N$304,"&lt;="&amp;$B$4))</f>
        <v/>
      </c>
      <c r="L48" s="32" t="str">
        <f aca="false">IF($A48="","",J48-K48)</f>
        <v/>
      </c>
      <c r="M48" s="34" t="str">
        <f aca="false">IF($A48="","",IF(OR(G48&gt;0,E48&gt;0),"Under Review",IF(L48&gt;=Reference_Data!$AL$7,"Exemplary",IF(L48&gt;=Reference_Data!$AL$8,"Commendable",IF(L48&gt;=Reference_Data!$AL$9,"Meets Standard","Needs Improvement")))))</f>
        <v/>
      </c>
      <c r="N48" s="34" t="str">
        <f aca="false">IF($A48="","",IF(OR(G48&gt;0,K48&gt;=Reference_Data!$AL$10),"Ineligible","Eligible"))</f>
        <v/>
      </c>
      <c r="O48" s="32" t="str">
        <f aca="false">IF($A48="","",RANK(L48,$L$7:$L$106))</f>
        <v/>
      </c>
    </row>
    <row r="49" customFormat="false" ht="15" hidden="false" customHeight="false" outlineLevel="0" collapsed="false">
      <c r="A49" s="31" t="str">
        <f aca="false">IF(Employee_Master!A47="","",Employee_Master!A47)</f>
        <v/>
      </c>
      <c r="B49" s="31" t="str">
        <f aca="false">IF($A49="","",Employee_Master!B47)</f>
        <v/>
      </c>
      <c r="C49" s="31" t="str">
        <f aca="false">IF($A49="","",Employee_Master!C47)</f>
        <v/>
      </c>
      <c r="D49" s="32" t="str">
        <f aca="false">IF($A49="","",COUNTIFS(Qualification_Log!$C$5:$C$304,$A49,Qualification_Log!$U$5:$U$304,"Active"))</f>
        <v/>
      </c>
      <c r="E49" s="32" t="str">
        <f aca="false">IF($A49="","",COUNTIFS(Qualification_Log!$C$5:$C$304,$A49,Qualification_Log!$Q$5:$Q$304,"Yes",Qualification_Log!$R$5:$R$304,"&gt;="&amp;$B$3,Qualification_Log!$R$5:$R$304,"&lt;="&amp;$B$4))</f>
        <v/>
      </c>
      <c r="F49" s="32" t="str">
        <f aca="false">IF($A49="","",COUNTIFS(Qualification_Log!$C$5:$C$304,$A49,Qualification_Log!$G$5:$G$304,"Quality Incident",Qualification_Log!$B$5:$B$304,"&gt;="&amp;$B$3,Qualification_Log!$B$5:$B$304,"&lt;="&amp;$B$4)+COUNTIFS(Qualification_Log!$C$5:$C$304,$A49,Qualification_Log!$G$5:$G$304,"Decertification",Qualification_Log!$O$5:$O$304,"&lt;&gt;",Qualification_Log!$B$5:$B$304,"&gt;="&amp;$B$3,Qualification_Log!$B$5:$B$304,"&lt;="&amp;$B$4))</f>
        <v/>
      </c>
      <c r="G49" s="32" t="str">
        <f aca="false">IF($A49="","",COUNTIFS(Qualification_Log!$C$5:$C$304,$A49,Qualification_Log!$O$5:$O$304,"Critical",Qualification_Log!$B$5:$B$304,"&gt;="&amp;$B$3,Qualification_Log!$B$5:$B$304,"&lt;="&amp;$B$4))</f>
        <v/>
      </c>
      <c r="H49" s="33" t="str">
        <f aca="false">IF($A49="","",SUMIFS(Qualification_Log!$N$5:$N$304,Qualification_Log!$C$5:$C$304,$A49,Qualification_Log!$B$5:$B$304,"&gt;="&amp;$B$3,Qualification_Log!$B$5:$B$304,"&lt;="&amp;$B$4))</f>
        <v/>
      </c>
      <c r="I49" s="32" t="str">
        <f aca="false">IF($A49="","",COUNTIFS(Recognition_Log!$C$5:$C$304,$A49,Recognition_Log!$N$5:$N$304,"Approved",Recognition_Log!$O$5:$O$304,"&gt;="&amp;$B$3,Recognition_Log!$O$5:$O$304,"&lt;="&amp;$B$4))</f>
        <v/>
      </c>
      <c r="J49" s="32" t="str">
        <f aca="false">IF($A49="","",SUMIFS(Recognition_Log!$Q$5:$Q$304,Recognition_Log!$C$5:$C$304,$A49,Recognition_Log!$O$5:$O$304,"&gt;="&amp;$B$3,Recognition_Log!$O$5:$O$304,"&lt;="&amp;$B$4))</f>
        <v/>
      </c>
      <c r="K49" s="32" t="str">
        <f aca="false">IF($A49="","",SUMIFS(Corrective_Action_Log!$T$5:$T$304,Corrective_Action_Log!$C$5:$C$304,$A49,Corrective_Action_Log!$N$5:$N$304,"&gt;="&amp;$B$3,Corrective_Action_Log!$N$5:$N$304,"&lt;="&amp;$B$4))</f>
        <v/>
      </c>
      <c r="L49" s="32" t="str">
        <f aca="false">IF($A49="","",J49-K49)</f>
        <v/>
      </c>
      <c r="M49" s="34" t="str">
        <f aca="false">IF($A49="","",IF(OR(G49&gt;0,E49&gt;0),"Under Review",IF(L49&gt;=Reference_Data!$AL$7,"Exemplary",IF(L49&gt;=Reference_Data!$AL$8,"Commendable",IF(L49&gt;=Reference_Data!$AL$9,"Meets Standard","Needs Improvement")))))</f>
        <v/>
      </c>
      <c r="N49" s="34" t="str">
        <f aca="false">IF($A49="","",IF(OR(G49&gt;0,K49&gt;=Reference_Data!$AL$10),"Ineligible","Eligible"))</f>
        <v/>
      </c>
      <c r="O49" s="32" t="str">
        <f aca="false">IF($A49="","",RANK(L49,$L$7:$L$106))</f>
        <v/>
      </c>
    </row>
    <row r="50" customFormat="false" ht="15" hidden="false" customHeight="false" outlineLevel="0" collapsed="false">
      <c r="A50" s="31" t="str">
        <f aca="false">IF(Employee_Master!A48="","",Employee_Master!A48)</f>
        <v/>
      </c>
      <c r="B50" s="31" t="str">
        <f aca="false">IF($A50="","",Employee_Master!B48)</f>
        <v/>
      </c>
      <c r="C50" s="31" t="str">
        <f aca="false">IF($A50="","",Employee_Master!C48)</f>
        <v/>
      </c>
      <c r="D50" s="32" t="str">
        <f aca="false">IF($A50="","",COUNTIFS(Qualification_Log!$C$5:$C$304,$A50,Qualification_Log!$U$5:$U$304,"Active"))</f>
        <v/>
      </c>
      <c r="E50" s="32" t="str">
        <f aca="false">IF($A50="","",COUNTIFS(Qualification_Log!$C$5:$C$304,$A50,Qualification_Log!$Q$5:$Q$304,"Yes",Qualification_Log!$R$5:$R$304,"&gt;="&amp;$B$3,Qualification_Log!$R$5:$R$304,"&lt;="&amp;$B$4))</f>
        <v/>
      </c>
      <c r="F50" s="32" t="str">
        <f aca="false">IF($A50="","",COUNTIFS(Qualification_Log!$C$5:$C$304,$A50,Qualification_Log!$G$5:$G$304,"Quality Incident",Qualification_Log!$B$5:$B$304,"&gt;="&amp;$B$3,Qualification_Log!$B$5:$B$304,"&lt;="&amp;$B$4)+COUNTIFS(Qualification_Log!$C$5:$C$304,$A50,Qualification_Log!$G$5:$G$304,"Decertification",Qualification_Log!$O$5:$O$304,"&lt;&gt;",Qualification_Log!$B$5:$B$304,"&gt;="&amp;$B$3,Qualification_Log!$B$5:$B$304,"&lt;="&amp;$B$4))</f>
        <v/>
      </c>
      <c r="G50" s="32" t="str">
        <f aca="false">IF($A50="","",COUNTIFS(Qualification_Log!$C$5:$C$304,$A50,Qualification_Log!$O$5:$O$304,"Critical",Qualification_Log!$B$5:$B$304,"&gt;="&amp;$B$3,Qualification_Log!$B$5:$B$304,"&lt;="&amp;$B$4))</f>
        <v/>
      </c>
      <c r="H50" s="33" t="str">
        <f aca="false">IF($A50="","",SUMIFS(Qualification_Log!$N$5:$N$304,Qualification_Log!$C$5:$C$304,$A50,Qualification_Log!$B$5:$B$304,"&gt;="&amp;$B$3,Qualification_Log!$B$5:$B$304,"&lt;="&amp;$B$4))</f>
        <v/>
      </c>
      <c r="I50" s="32" t="str">
        <f aca="false">IF($A50="","",COUNTIFS(Recognition_Log!$C$5:$C$304,$A50,Recognition_Log!$N$5:$N$304,"Approved",Recognition_Log!$O$5:$O$304,"&gt;="&amp;$B$3,Recognition_Log!$O$5:$O$304,"&lt;="&amp;$B$4))</f>
        <v/>
      </c>
      <c r="J50" s="32" t="str">
        <f aca="false">IF($A50="","",SUMIFS(Recognition_Log!$Q$5:$Q$304,Recognition_Log!$C$5:$C$304,$A50,Recognition_Log!$O$5:$O$304,"&gt;="&amp;$B$3,Recognition_Log!$O$5:$O$304,"&lt;="&amp;$B$4))</f>
        <v/>
      </c>
      <c r="K50" s="32" t="str">
        <f aca="false">IF($A50="","",SUMIFS(Corrective_Action_Log!$T$5:$T$304,Corrective_Action_Log!$C$5:$C$304,$A50,Corrective_Action_Log!$N$5:$N$304,"&gt;="&amp;$B$3,Corrective_Action_Log!$N$5:$N$304,"&lt;="&amp;$B$4))</f>
        <v/>
      </c>
      <c r="L50" s="32" t="str">
        <f aca="false">IF($A50="","",J50-K50)</f>
        <v/>
      </c>
      <c r="M50" s="34" t="str">
        <f aca="false">IF($A50="","",IF(OR(G50&gt;0,E50&gt;0),"Under Review",IF(L50&gt;=Reference_Data!$AL$7,"Exemplary",IF(L50&gt;=Reference_Data!$AL$8,"Commendable",IF(L50&gt;=Reference_Data!$AL$9,"Meets Standard","Needs Improvement")))))</f>
        <v/>
      </c>
      <c r="N50" s="34" t="str">
        <f aca="false">IF($A50="","",IF(OR(G50&gt;0,K50&gt;=Reference_Data!$AL$10),"Ineligible","Eligible"))</f>
        <v/>
      </c>
      <c r="O50" s="32" t="str">
        <f aca="false">IF($A50="","",RANK(L50,$L$7:$L$106))</f>
        <v/>
      </c>
    </row>
    <row r="51" customFormat="false" ht="15" hidden="false" customHeight="false" outlineLevel="0" collapsed="false">
      <c r="A51" s="31" t="str">
        <f aca="false">IF(Employee_Master!A49="","",Employee_Master!A49)</f>
        <v/>
      </c>
      <c r="B51" s="31" t="str">
        <f aca="false">IF($A51="","",Employee_Master!B49)</f>
        <v/>
      </c>
      <c r="C51" s="31" t="str">
        <f aca="false">IF($A51="","",Employee_Master!C49)</f>
        <v/>
      </c>
      <c r="D51" s="32" t="str">
        <f aca="false">IF($A51="","",COUNTIFS(Qualification_Log!$C$5:$C$304,$A51,Qualification_Log!$U$5:$U$304,"Active"))</f>
        <v/>
      </c>
      <c r="E51" s="32" t="str">
        <f aca="false">IF($A51="","",COUNTIFS(Qualification_Log!$C$5:$C$304,$A51,Qualification_Log!$Q$5:$Q$304,"Yes",Qualification_Log!$R$5:$R$304,"&gt;="&amp;$B$3,Qualification_Log!$R$5:$R$304,"&lt;="&amp;$B$4))</f>
        <v/>
      </c>
      <c r="F51" s="32" t="str">
        <f aca="false">IF($A51="","",COUNTIFS(Qualification_Log!$C$5:$C$304,$A51,Qualification_Log!$G$5:$G$304,"Quality Incident",Qualification_Log!$B$5:$B$304,"&gt;="&amp;$B$3,Qualification_Log!$B$5:$B$304,"&lt;="&amp;$B$4)+COUNTIFS(Qualification_Log!$C$5:$C$304,$A51,Qualification_Log!$G$5:$G$304,"Decertification",Qualification_Log!$O$5:$O$304,"&lt;&gt;",Qualification_Log!$B$5:$B$304,"&gt;="&amp;$B$3,Qualification_Log!$B$5:$B$304,"&lt;="&amp;$B$4))</f>
        <v/>
      </c>
      <c r="G51" s="32" t="str">
        <f aca="false">IF($A51="","",COUNTIFS(Qualification_Log!$C$5:$C$304,$A51,Qualification_Log!$O$5:$O$304,"Critical",Qualification_Log!$B$5:$B$304,"&gt;="&amp;$B$3,Qualification_Log!$B$5:$B$304,"&lt;="&amp;$B$4))</f>
        <v/>
      </c>
      <c r="H51" s="33" t="str">
        <f aca="false">IF($A51="","",SUMIFS(Qualification_Log!$N$5:$N$304,Qualification_Log!$C$5:$C$304,$A51,Qualification_Log!$B$5:$B$304,"&gt;="&amp;$B$3,Qualification_Log!$B$5:$B$304,"&lt;="&amp;$B$4))</f>
        <v/>
      </c>
      <c r="I51" s="32" t="str">
        <f aca="false">IF($A51="","",COUNTIFS(Recognition_Log!$C$5:$C$304,$A51,Recognition_Log!$N$5:$N$304,"Approved",Recognition_Log!$O$5:$O$304,"&gt;="&amp;$B$3,Recognition_Log!$O$5:$O$304,"&lt;="&amp;$B$4))</f>
        <v/>
      </c>
      <c r="J51" s="32" t="str">
        <f aca="false">IF($A51="","",SUMIFS(Recognition_Log!$Q$5:$Q$304,Recognition_Log!$C$5:$C$304,$A51,Recognition_Log!$O$5:$O$304,"&gt;="&amp;$B$3,Recognition_Log!$O$5:$O$304,"&lt;="&amp;$B$4))</f>
        <v/>
      </c>
      <c r="K51" s="32" t="str">
        <f aca="false">IF($A51="","",SUMIFS(Corrective_Action_Log!$T$5:$T$304,Corrective_Action_Log!$C$5:$C$304,$A51,Corrective_Action_Log!$N$5:$N$304,"&gt;="&amp;$B$3,Corrective_Action_Log!$N$5:$N$304,"&lt;="&amp;$B$4))</f>
        <v/>
      </c>
      <c r="L51" s="32" t="str">
        <f aca="false">IF($A51="","",J51-K51)</f>
        <v/>
      </c>
      <c r="M51" s="34" t="str">
        <f aca="false">IF($A51="","",IF(OR(G51&gt;0,E51&gt;0),"Under Review",IF(L51&gt;=Reference_Data!$AL$7,"Exemplary",IF(L51&gt;=Reference_Data!$AL$8,"Commendable",IF(L51&gt;=Reference_Data!$AL$9,"Meets Standard","Needs Improvement")))))</f>
        <v/>
      </c>
      <c r="N51" s="34" t="str">
        <f aca="false">IF($A51="","",IF(OR(G51&gt;0,K51&gt;=Reference_Data!$AL$10),"Ineligible","Eligible"))</f>
        <v/>
      </c>
      <c r="O51" s="32" t="str">
        <f aca="false">IF($A51="","",RANK(L51,$L$7:$L$106))</f>
        <v/>
      </c>
    </row>
    <row r="52" customFormat="false" ht="15" hidden="false" customHeight="false" outlineLevel="0" collapsed="false">
      <c r="A52" s="31" t="str">
        <f aca="false">IF(Employee_Master!A50="","",Employee_Master!A50)</f>
        <v/>
      </c>
      <c r="B52" s="31" t="str">
        <f aca="false">IF($A52="","",Employee_Master!B50)</f>
        <v/>
      </c>
      <c r="C52" s="31" t="str">
        <f aca="false">IF($A52="","",Employee_Master!C50)</f>
        <v/>
      </c>
      <c r="D52" s="32" t="str">
        <f aca="false">IF($A52="","",COUNTIFS(Qualification_Log!$C$5:$C$304,$A52,Qualification_Log!$U$5:$U$304,"Active"))</f>
        <v/>
      </c>
      <c r="E52" s="32" t="str">
        <f aca="false">IF($A52="","",COUNTIFS(Qualification_Log!$C$5:$C$304,$A52,Qualification_Log!$Q$5:$Q$304,"Yes",Qualification_Log!$R$5:$R$304,"&gt;="&amp;$B$3,Qualification_Log!$R$5:$R$304,"&lt;="&amp;$B$4))</f>
        <v/>
      </c>
      <c r="F52" s="32" t="str">
        <f aca="false">IF($A52="","",COUNTIFS(Qualification_Log!$C$5:$C$304,$A52,Qualification_Log!$G$5:$G$304,"Quality Incident",Qualification_Log!$B$5:$B$304,"&gt;="&amp;$B$3,Qualification_Log!$B$5:$B$304,"&lt;="&amp;$B$4)+COUNTIFS(Qualification_Log!$C$5:$C$304,$A52,Qualification_Log!$G$5:$G$304,"Decertification",Qualification_Log!$O$5:$O$304,"&lt;&gt;",Qualification_Log!$B$5:$B$304,"&gt;="&amp;$B$3,Qualification_Log!$B$5:$B$304,"&lt;="&amp;$B$4))</f>
        <v/>
      </c>
      <c r="G52" s="32" t="str">
        <f aca="false">IF($A52="","",COUNTIFS(Qualification_Log!$C$5:$C$304,$A52,Qualification_Log!$O$5:$O$304,"Critical",Qualification_Log!$B$5:$B$304,"&gt;="&amp;$B$3,Qualification_Log!$B$5:$B$304,"&lt;="&amp;$B$4))</f>
        <v/>
      </c>
      <c r="H52" s="33" t="str">
        <f aca="false">IF($A52="","",SUMIFS(Qualification_Log!$N$5:$N$304,Qualification_Log!$C$5:$C$304,$A52,Qualification_Log!$B$5:$B$304,"&gt;="&amp;$B$3,Qualification_Log!$B$5:$B$304,"&lt;="&amp;$B$4))</f>
        <v/>
      </c>
      <c r="I52" s="32" t="str">
        <f aca="false">IF($A52="","",COUNTIFS(Recognition_Log!$C$5:$C$304,$A52,Recognition_Log!$N$5:$N$304,"Approved",Recognition_Log!$O$5:$O$304,"&gt;="&amp;$B$3,Recognition_Log!$O$5:$O$304,"&lt;="&amp;$B$4))</f>
        <v/>
      </c>
      <c r="J52" s="32" t="str">
        <f aca="false">IF($A52="","",SUMIFS(Recognition_Log!$Q$5:$Q$304,Recognition_Log!$C$5:$C$304,$A52,Recognition_Log!$O$5:$O$304,"&gt;="&amp;$B$3,Recognition_Log!$O$5:$O$304,"&lt;="&amp;$B$4))</f>
        <v/>
      </c>
      <c r="K52" s="32" t="str">
        <f aca="false">IF($A52="","",SUMIFS(Corrective_Action_Log!$T$5:$T$304,Corrective_Action_Log!$C$5:$C$304,$A52,Corrective_Action_Log!$N$5:$N$304,"&gt;="&amp;$B$3,Corrective_Action_Log!$N$5:$N$304,"&lt;="&amp;$B$4))</f>
        <v/>
      </c>
      <c r="L52" s="32" t="str">
        <f aca="false">IF($A52="","",J52-K52)</f>
        <v/>
      </c>
      <c r="M52" s="34" t="str">
        <f aca="false">IF($A52="","",IF(OR(G52&gt;0,E52&gt;0),"Under Review",IF(L52&gt;=Reference_Data!$AL$7,"Exemplary",IF(L52&gt;=Reference_Data!$AL$8,"Commendable",IF(L52&gt;=Reference_Data!$AL$9,"Meets Standard","Needs Improvement")))))</f>
        <v/>
      </c>
      <c r="N52" s="34" t="str">
        <f aca="false">IF($A52="","",IF(OR(G52&gt;0,K52&gt;=Reference_Data!$AL$10),"Ineligible","Eligible"))</f>
        <v/>
      </c>
      <c r="O52" s="32" t="str">
        <f aca="false">IF($A52="","",RANK(L52,$L$7:$L$106))</f>
        <v/>
      </c>
    </row>
    <row r="53" customFormat="false" ht="15" hidden="false" customHeight="false" outlineLevel="0" collapsed="false">
      <c r="A53" s="31" t="str">
        <f aca="false">IF(Employee_Master!A51="","",Employee_Master!A51)</f>
        <v/>
      </c>
      <c r="B53" s="31" t="str">
        <f aca="false">IF($A53="","",Employee_Master!B51)</f>
        <v/>
      </c>
      <c r="C53" s="31" t="str">
        <f aca="false">IF($A53="","",Employee_Master!C51)</f>
        <v/>
      </c>
      <c r="D53" s="32" t="str">
        <f aca="false">IF($A53="","",COUNTIFS(Qualification_Log!$C$5:$C$304,$A53,Qualification_Log!$U$5:$U$304,"Active"))</f>
        <v/>
      </c>
      <c r="E53" s="32" t="str">
        <f aca="false">IF($A53="","",COUNTIFS(Qualification_Log!$C$5:$C$304,$A53,Qualification_Log!$Q$5:$Q$304,"Yes",Qualification_Log!$R$5:$R$304,"&gt;="&amp;$B$3,Qualification_Log!$R$5:$R$304,"&lt;="&amp;$B$4))</f>
        <v/>
      </c>
      <c r="F53" s="32" t="str">
        <f aca="false">IF($A53="","",COUNTIFS(Qualification_Log!$C$5:$C$304,$A53,Qualification_Log!$G$5:$G$304,"Quality Incident",Qualification_Log!$B$5:$B$304,"&gt;="&amp;$B$3,Qualification_Log!$B$5:$B$304,"&lt;="&amp;$B$4)+COUNTIFS(Qualification_Log!$C$5:$C$304,$A53,Qualification_Log!$G$5:$G$304,"Decertification",Qualification_Log!$O$5:$O$304,"&lt;&gt;",Qualification_Log!$B$5:$B$304,"&gt;="&amp;$B$3,Qualification_Log!$B$5:$B$304,"&lt;="&amp;$B$4))</f>
        <v/>
      </c>
      <c r="G53" s="32" t="str">
        <f aca="false">IF($A53="","",COUNTIFS(Qualification_Log!$C$5:$C$304,$A53,Qualification_Log!$O$5:$O$304,"Critical",Qualification_Log!$B$5:$B$304,"&gt;="&amp;$B$3,Qualification_Log!$B$5:$B$304,"&lt;="&amp;$B$4))</f>
        <v/>
      </c>
      <c r="H53" s="33" t="str">
        <f aca="false">IF($A53="","",SUMIFS(Qualification_Log!$N$5:$N$304,Qualification_Log!$C$5:$C$304,$A53,Qualification_Log!$B$5:$B$304,"&gt;="&amp;$B$3,Qualification_Log!$B$5:$B$304,"&lt;="&amp;$B$4))</f>
        <v/>
      </c>
      <c r="I53" s="32" t="str">
        <f aca="false">IF($A53="","",COUNTIFS(Recognition_Log!$C$5:$C$304,$A53,Recognition_Log!$N$5:$N$304,"Approved",Recognition_Log!$O$5:$O$304,"&gt;="&amp;$B$3,Recognition_Log!$O$5:$O$304,"&lt;="&amp;$B$4))</f>
        <v/>
      </c>
      <c r="J53" s="32" t="str">
        <f aca="false">IF($A53="","",SUMIFS(Recognition_Log!$Q$5:$Q$304,Recognition_Log!$C$5:$C$304,$A53,Recognition_Log!$O$5:$O$304,"&gt;="&amp;$B$3,Recognition_Log!$O$5:$O$304,"&lt;="&amp;$B$4))</f>
        <v/>
      </c>
      <c r="K53" s="32" t="str">
        <f aca="false">IF($A53="","",SUMIFS(Corrective_Action_Log!$T$5:$T$304,Corrective_Action_Log!$C$5:$C$304,$A53,Corrective_Action_Log!$N$5:$N$304,"&gt;="&amp;$B$3,Corrective_Action_Log!$N$5:$N$304,"&lt;="&amp;$B$4))</f>
        <v/>
      </c>
      <c r="L53" s="32" t="str">
        <f aca="false">IF($A53="","",J53-K53)</f>
        <v/>
      </c>
      <c r="M53" s="34" t="str">
        <f aca="false">IF($A53="","",IF(OR(G53&gt;0,E53&gt;0),"Under Review",IF(L53&gt;=Reference_Data!$AL$7,"Exemplary",IF(L53&gt;=Reference_Data!$AL$8,"Commendable",IF(L53&gt;=Reference_Data!$AL$9,"Meets Standard","Needs Improvement")))))</f>
        <v/>
      </c>
      <c r="N53" s="34" t="str">
        <f aca="false">IF($A53="","",IF(OR(G53&gt;0,K53&gt;=Reference_Data!$AL$10),"Ineligible","Eligible"))</f>
        <v/>
      </c>
      <c r="O53" s="32" t="str">
        <f aca="false">IF($A53="","",RANK(L53,$L$7:$L$106))</f>
        <v/>
      </c>
    </row>
    <row r="54" customFormat="false" ht="15" hidden="false" customHeight="false" outlineLevel="0" collapsed="false">
      <c r="A54" s="31" t="str">
        <f aca="false">IF(Employee_Master!A52="","",Employee_Master!A52)</f>
        <v/>
      </c>
      <c r="B54" s="31" t="str">
        <f aca="false">IF($A54="","",Employee_Master!B52)</f>
        <v/>
      </c>
      <c r="C54" s="31" t="str">
        <f aca="false">IF($A54="","",Employee_Master!C52)</f>
        <v/>
      </c>
      <c r="D54" s="32" t="str">
        <f aca="false">IF($A54="","",COUNTIFS(Qualification_Log!$C$5:$C$304,$A54,Qualification_Log!$U$5:$U$304,"Active"))</f>
        <v/>
      </c>
      <c r="E54" s="32" t="str">
        <f aca="false">IF($A54="","",COUNTIFS(Qualification_Log!$C$5:$C$304,$A54,Qualification_Log!$Q$5:$Q$304,"Yes",Qualification_Log!$R$5:$R$304,"&gt;="&amp;$B$3,Qualification_Log!$R$5:$R$304,"&lt;="&amp;$B$4))</f>
        <v/>
      </c>
      <c r="F54" s="32" t="str">
        <f aca="false">IF($A54="","",COUNTIFS(Qualification_Log!$C$5:$C$304,$A54,Qualification_Log!$G$5:$G$304,"Quality Incident",Qualification_Log!$B$5:$B$304,"&gt;="&amp;$B$3,Qualification_Log!$B$5:$B$304,"&lt;="&amp;$B$4)+COUNTIFS(Qualification_Log!$C$5:$C$304,$A54,Qualification_Log!$G$5:$G$304,"Decertification",Qualification_Log!$O$5:$O$304,"&lt;&gt;",Qualification_Log!$B$5:$B$304,"&gt;="&amp;$B$3,Qualification_Log!$B$5:$B$304,"&lt;="&amp;$B$4))</f>
        <v/>
      </c>
      <c r="G54" s="32" t="str">
        <f aca="false">IF($A54="","",COUNTIFS(Qualification_Log!$C$5:$C$304,$A54,Qualification_Log!$O$5:$O$304,"Critical",Qualification_Log!$B$5:$B$304,"&gt;="&amp;$B$3,Qualification_Log!$B$5:$B$304,"&lt;="&amp;$B$4))</f>
        <v/>
      </c>
      <c r="H54" s="33" t="str">
        <f aca="false">IF($A54="","",SUMIFS(Qualification_Log!$N$5:$N$304,Qualification_Log!$C$5:$C$304,$A54,Qualification_Log!$B$5:$B$304,"&gt;="&amp;$B$3,Qualification_Log!$B$5:$B$304,"&lt;="&amp;$B$4))</f>
        <v/>
      </c>
      <c r="I54" s="32" t="str">
        <f aca="false">IF($A54="","",COUNTIFS(Recognition_Log!$C$5:$C$304,$A54,Recognition_Log!$N$5:$N$304,"Approved",Recognition_Log!$O$5:$O$304,"&gt;="&amp;$B$3,Recognition_Log!$O$5:$O$304,"&lt;="&amp;$B$4))</f>
        <v/>
      </c>
      <c r="J54" s="32" t="str">
        <f aca="false">IF($A54="","",SUMIFS(Recognition_Log!$Q$5:$Q$304,Recognition_Log!$C$5:$C$304,$A54,Recognition_Log!$O$5:$O$304,"&gt;="&amp;$B$3,Recognition_Log!$O$5:$O$304,"&lt;="&amp;$B$4))</f>
        <v/>
      </c>
      <c r="K54" s="32" t="str">
        <f aca="false">IF($A54="","",SUMIFS(Corrective_Action_Log!$T$5:$T$304,Corrective_Action_Log!$C$5:$C$304,$A54,Corrective_Action_Log!$N$5:$N$304,"&gt;="&amp;$B$3,Corrective_Action_Log!$N$5:$N$304,"&lt;="&amp;$B$4))</f>
        <v/>
      </c>
      <c r="L54" s="32" t="str">
        <f aca="false">IF($A54="","",J54-K54)</f>
        <v/>
      </c>
      <c r="M54" s="34" t="str">
        <f aca="false">IF($A54="","",IF(OR(G54&gt;0,E54&gt;0),"Under Review",IF(L54&gt;=Reference_Data!$AL$7,"Exemplary",IF(L54&gt;=Reference_Data!$AL$8,"Commendable",IF(L54&gt;=Reference_Data!$AL$9,"Meets Standard","Needs Improvement")))))</f>
        <v/>
      </c>
      <c r="N54" s="34" t="str">
        <f aca="false">IF($A54="","",IF(OR(G54&gt;0,K54&gt;=Reference_Data!$AL$10),"Ineligible","Eligible"))</f>
        <v/>
      </c>
      <c r="O54" s="32" t="str">
        <f aca="false">IF($A54="","",RANK(L54,$L$7:$L$106))</f>
        <v/>
      </c>
    </row>
    <row r="55" customFormat="false" ht="15" hidden="false" customHeight="false" outlineLevel="0" collapsed="false">
      <c r="A55" s="31" t="str">
        <f aca="false">IF(Employee_Master!A53="","",Employee_Master!A53)</f>
        <v/>
      </c>
      <c r="B55" s="31" t="str">
        <f aca="false">IF($A55="","",Employee_Master!B53)</f>
        <v/>
      </c>
      <c r="C55" s="31" t="str">
        <f aca="false">IF($A55="","",Employee_Master!C53)</f>
        <v/>
      </c>
      <c r="D55" s="32" t="str">
        <f aca="false">IF($A55="","",COUNTIFS(Qualification_Log!$C$5:$C$304,$A55,Qualification_Log!$U$5:$U$304,"Active"))</f>
        <v/>
      </c>
      <c r="E55" s="32" t="str">
        <f aca="false">IF($A55="","",COUNTIFS(Qualification_Log!$C$5:$C$304,$A55,Qualification_Log!$Q$5:$Q$304,"Yes",Qualification_Log!$R$5:$R$304,"&gt;="&amp;$B$3,Qualification_Log!$R$5:$R$304,"&lt;="&amp;$B$4))</f>
        <v/>
      </c>
      <c r="F55" s="32" t="str">
        <f aca="false">IF($A55="","",COUNTIFS(Qualification_Log!$C$5:$C$304,$A55,Qualification_Log!$G$5:$G$304,"Quality Incident",Qualification_Log!$B$5:$B$304,"&gt;="&amp;$B$3,Qualification_Log!$B$5:$B$304,"&lt;="&amp;$B$4)+COUNTIFS(Qualification_Log!$C$5:$C$304,$A55,Qualification_Log!$G$5:$G$304,"Decertification",Qualification_Log!$O$5:$O$304,"&lt;&gt;",Qualification_Log!$B$5:$B$304,"&gt;="&amp;$B$3,Qualification_Log!$B$5:$B$304,"&lt;="&amp;$B$4))</f>
        <v/>
      </c>
      <c r="G55" s="32" t="str">
        <f aca="false">IF($A55="","",COUNTIFS(Qualification_Log!$C$5:$C$304,$A55,Qualification_Log!$O$5:$O$304,"Critical",Qualification_Log!$B$5:$B$304,"&gt;="&amp;$B$3,Qualification_Log!$B$5:$B$304,"&lt;="&amp;$B$4))</f>
        <v/>
      </c>
      <c r="H55" s="33" t="str">
        <f aca="false">IF($A55="","",SUMIFS(Qualification_Log!$N$5:$N$304,Qualification_Log!$C$5:$C$304,$A55,Qualification_Log!$B$5:$B$304,"&gt;="&amp;$B$3,Qualification_Log!$B$5:$B$304,"&lt;="&amp;$B$4))</f>
        <v/>
      </c>
      <c r="I55" s="32" t="str">
        <f aca="false">IF($A55="","",COUNTIFS(Recognition_Log!$C$5:$C$304,$A55,Recognition_Log!$N$5:$N$304,"Approved",Recognition_Log!$O$5:$O$304,"&gt;="&amp;$B$3,Recognition_Log!$O$5:$O$304,"&lt;="&amp;$B$4))</f>
        <v/>
      </c>
      <c r="J55" s="32" t="str">
        <f aca="false">IF($A55="","",SUMIFS(Recognition_Log!$Q$5:$Q$304,Recognition_Log!$C$5:$C$304,$A55,Recognition_Log!$O$5:$O$304,"&gt;="&amp;$B$3,Recognition_Log!$O$5:$O$304,"&lt;="&amp;$B$4))</f>
        <v/>
      </c>
      <c r="K55" s="32" t="str">
        <f aca="false">IF($A55="","",SUMIFS(Corrective_Action_Log!$T$5:$T$304,Corrective_Action_Log!$C$5:$C$304,$A55,Corrective_Action_Log!$N$5:$N$304,"&gt;="&amp;$B$3,Corrective_Action_Log!$N$5:$N$304,"&lt;="&amp;$B$4))</f>
        <v/>
      </c>
      <c r="L55" s="32" t="str">
        <f aca="false">IF($A55="","",J55-K55)</f>
        <v/>
      </c>
      <c r="M55" s="34" t="str">
        <f aca="false">IF($A55="","",IF(OR(G55&gt;0,E55&gt;0),"Under Review",IF(L55&gt;=Reference_Data!$AL$7,"Exemplary",IF(L55&gt;=Reference_Data!$AL$8,"Commendable",IF(L55&gt;=Reference_Data!$AL$9,"Meets Standard","Needs Improvement")))))</f>
        <v/>
      </c>
      <c r="N55" s="34" t="str">
        <f aca="false">IF($A55="","",IF(OR(G55&gt;0,K55&gt;=Reference_Data!$AL$10),"Ineligible","Eligible"))</f>
        <v/>
      </c>
      <c r="O55" s="32" t="str">
        <f aca="false">IF($A55="","",RANK(L55,$L$7:$L$106))</f>
        <v/>
      </c>
    </row>
    <row r="56" customFormat="false" ht="15" hidden="false" customHeight="false" outlineLevel="0" collapsed="false">
      <c r="A56" s="31" t="str">
        <f aca="false">IF(Employee_Master!A54="","",Employee_Master!A54)</f>
        <v/>
      </c>
      <c r="B56" s="31" t="str">
        <f aca="false">IF($A56="","",Employee_Master!B54)</f>
        <v/>
      </c>
      <c r="C56" s="31" t="str">
        <f aca="false">IF($A56="","",Employee_Master!C54)</f>
        <v/>
      </c>
      <c r="D56" s="32" t="str">
        <f aca="false">IF($A56="","",COUNTIFS(Qualification_Log!$C$5:$C$304,$A56,Qualification_Log!$U$5:$U$304,"Active"))</f>
        <v/>
      </c>
      <c r="E56" s="32" t="str">
        <f aca="false">IF($A56="","",COUNTIFS(Qualification_Log!$C$5:$C$304,$A56,Qualification_Log!$Q$5:$Q$304,"Yes",Qualification_Log!$R$5:$R$304,"&gt;="&amp;$B$3,Qualification_Log!$R$5:$R$304,"&lt;="&amp;$B$4))</f>
        <v/>
      </c>
      <c r="F56" s="32" t="str">
        <f aca="false">IF($A56="","",COUNTIFS(Qualification_Log!$C$5:$C$304,$A56,Qualification_Log!$G$5:$G$304,"Quality Incident",Qualification_Log!$B$5:$B$304,"&gt;="&amp;$B$3,Qualification_Log!$B$5:$B$304,"&lt;="&amp;$B$4)+COUNTIFS(Qualification_Log!$C$5:$C$304,$A56,Qualification_Log!$G$5:$G$304,"Decertification",Qualification_Log!$O$5:$O$304,"&lt;&gt;",Qualification_Log!$B$5:$B$304,"&gt;="&amp;$B$3,Qualification_Log!$B$5:$B$304,"&lt;="&amp;$B$4))</f>
        <v/>
      </c>
      <c r="G56" s="32" t="str">
        <f aca="false">IF($A56="","",COUNTIFS(Qualification_Log!$C$5:$C$304,$A56,Qualification_Log!$O$5:$O$304,"Critical",Qualification_Log!$B$5:$B$304,"&gt;="&amp;$B$3,Qualification_Log!$B$5:$B$304,"&lt;="&amp;$B$4))</f>
        <v/>
      </c>
      <c r="H56" s="33" t="str">
        <f aca="false">IF($A56="","",SUMIFS(Qualification_Log!$N$5:$N$304,Qualification_Log!$C$5:$C$304,$A56,Qualification_Log!$B$5:$B$304,"&gt;="&amp;$B$3,Qualification_Log!$B$5:$B$304,"&lt;="&amp;$B$4))</f>
        <v/>
      </c>
      <c r="I56" s="32" t="str">
        <f aca="false">IF($A56="","",COUNTIFS(Recognition_Log!$C$5:$C$304,$A56,Recognition_Log!$N$5:$N$304,"Approved",Recognition_Log!$O$5:$O$304,"&gt;="&amp;$B$3,Recognition_Log!$O$5:$O$304,"&lt;="&amp;$B$4))</f>
        <v/>
      </c>
      <c r="J56" s="32" t="str">
        <f aca="false">IF($A56="","",SUMIFS(Recognition_Log!$Q$5:$Q$304,Recognition_Log!$C$5:$C$304,$A56,Recognition_Log!$O$5:$O$304,"&gt;="&amp;$B$3,Recognition_Log!$O$5:$O$304,"&lt;="&amp;$B$4))</f>
        <v/>
      </c>
      <c r="K56" s="32" t="str">
        <f aca="false">IF($A56="","",SUMIFS(Corrective_Action_Log!$T$5:$T$304,Corrective_Action_Log!$C$5:$C$304,$A56,Corrective_Action_Log!$N$5:$N$304,"&gt;="&amp;$B$3,Corrective_Action_Log!$N$5:$N$304,"&lt;="&amp;$B$4))</f>
        <v/>
      </c>
      <c r="L56" s="32" t="str">
        <f aca="false">IF($A56="","",J56-K56)</f>
        <v/>
      </c>
      <c r="M56" s="34" t="str">
        <f aca="false">IF($A56="","",IF(OR(G56&gt;0,E56&gt;0),"Under Review",IF(L56&gt;=Reference_Data!$AL$7,"Exemplary",IF(L56&gt;=Reference_Data!$AL$8,"Commendable",IF(L56&gt;=Reference_Data!$AL$9,"Meets Standard","Needs Improvement")))))</f>
        <v/>
      </c>
      <c r="N56" s="34" t="str">
        <f aca="false">IF($A56="","",IF(OR(G56&gt;0,K56&gt;=Reference_Data!$AL$10),"Ineligible","Eligible"))</f>
        <v/>
      </c>
      <c r="O56" s="32" t="str">
        <f aca="false">IF($A56="","",RANK(L56,$L$7:$L$106))</f>
        <v/>
      </c>
    </row>
    <row r="57" customFormat="false" ht="15" hidden="false" customHeight="false" outlineLevel="0" collapsed="false">
      <c r="A57" s="31" t="str">
        <f aca="false">IF(Employee_Master!A55="","",Employee_Master!A55)</f>
        <v/>
      </c>
      <c r="B57" s="31" t="str">
        <f aca="false">IF($A57="","",Employee_Master!B55)</f>
        <v/>
      </c>
      <c r="C57" s="31" t="str">
        <f aca="false">IF($A57="","",Employee_Master!C55)</f>
        <v/>
      </c>
      <c r="D57" s="32" t="str">
        <f aca="false">IF($A57="","",COUNTIFS(Qualification_Log!$C$5:$C$304,$A57,Qualification_Log!$U$5:$U$304,"Active"))</f>
        <v/>
      </c>
      <c r="E57" s="32" t="str">
        <f aca="false">IF($A57="","",COUNTIFS(Qualification_Log!$C$5:$C$304,$A57,Qualification_Log!$Q$5:$Q$304,"Yes",Qualification_Log!$R$5:$R$304,"&gt;="&amp;$B$3,Qualification_Log!$R$5:$R$304,"&lt;="&amp;$B$4))</f>
        <v/>
      </c>
      <c r="F57" s="32" t="str">
        <f aca="false">IF($A57="","",COUNTIFS(Qualification_Log!$C$5:$C$304,$A57,Qualification_Log!$G$5:$G$304,"Quality Incident",Qualification_Log!$B$5:$B$304,"&gt;="&amp;$B$3,Qualification_Log!$B$5:$B$304,"&lt;="&amp;$B$4)+COUNTIFS(Qualification_Log!$C$5:$C$304,$A57,Qualification_Log!$G$5:$G$304,"Decertification",Qualification_Log!$O$5:$O$304,"&lt;&gt;",Qualification_Log!$B$5:$B$304,"&gt;="&amp;$B$3,Qualification_Log!$B$5:$B$304,"&lt;="&amp;$B$4))</f>
        <v/>
      </c>
      <c r="G57" s="32" t="str">
        <f aca="false">IF($A57="","",COUNTIFS(Qualification_Log!$C$5:$C$304,$A57,Qualification_Log!$O$5:$O$304,"Critical",Qualification_Log!$B$5:$B$304,"&gt;="&amp;$B$3,Qualification_Log!$B$5:$B$304,"&lt;="&amp;$B$4))</f>
        <v/>
      </c>
      <c r="H57" s="33" t="str">
        <f aca="false">IF($A57="","",SUMIFS(Qualification_Log!$N$5:$N$304,Qualification_Log!$C$5:$C$304,$A57,Qualification_Log!$B$5:$B$304,"&gt;="&amp;$B$3,Qualification_Log!$B$5:$B$304,"&lt;="&amp;$B$4))</f>
        <v/>
      </c>
      <c r="I57" s="32" t="str">
        <f aca="false">IF($A57="","",COUNTIFS(Recognition_Log!$C$5:$C$304,$A57,Recognition_Log!$N$5:$N$304,"Approved",Recognition_Log!$O$5:$O$304,"&gt;="&amp;$B$3,Recognition_Log!$O$5:$O$304,"&lt;="&amp;$B$4))</f>
        <v/>
      </c>
      <c r="J57" s="32" t="str">
        <f aca="false">IF($A57="","",SUMIFS(Recognition_Log!$Q$5:$Q$304,Recognition_Log!$C$5:$C$304,$A57,Recognition_Log!$O$5:$O$304,"&gt;="&amp;$B$3,Recognition_Log!$O$5:$O$304,"&lt;="&amp;$B$4))</f>
        <v/>
      </c>
      <c r="K57" s="32" t="str">
        <f aca="false">IF($A57="","",SUMIFS(Corrective_Action_Log!$T$5:$T$304,Corrective_Action_Log!$C$5:$C$304,$A57,Corrective_Action_Log!$N$5:$N$304,"&gt;="&amp;$B$3,Corrective_Action_Log!$N$5:$N$304,"&lt;="&amp;$B$4))</f>
        <v/>
      </c>
      <c r="L57" s="32" t="str">
        <f aca="false">IF($A57="","",J57-K57)</f>
        <v/>
      </c>
      <c r="M57" s="34" t="str">
        <f aca="false">IF($A57="","",IF(OR(G57&gt;0,E57&gt;0),"Under Review",IF(L57&gt;=Reference_Data!$AL$7,"Exemplary",IF(L57&gt;=Reference_Data!$AL$8,"Commendable",IF(L57&gt;=Reference_Data!$AL$9,"Meets Standard","Needs Improvement")))))</f>
        <v/>
      </c>
      <c r="N57" s="34" t="str">
        <f aca="false">IF($A57="","",IF(OR(G57&gt;0,K57&gt;=Reference_Data!$AL$10),"Ineligible","Eligible"))</f>
        <v/>
      </c>
      <c r="O57" s="32" t="str">
        <f aca="false">IF($A57="","",RANK(L57,$L$7:$L$106))</f>
        <v/>
      </c>
    </row>
    <row r="58" customFormat="false" ht="15" hidden="false" customHeight="false" outlineLevel="0" collapsed="false">
      <c r="A58" s="31" t="str">
        <f aca="false">IF(Employee_Master!A56="","",Employee_Master!A56)</f>
        <v/>
      </c>
      <c r="B58" s="31" t="str">
        <f aca="false">IF($A58="","",Employee_Master!B56)</f>
        <v/>
      </c>
      <c r="C58" s="31" t="str">
        <f aca="false">IF($A58="","",Employee_Master!C56)</f>
        <v/>
      </c>
      <c r="D58" s="32" t="str">
        <f aca="false">IF($A58="","",COUNTIFS(Qualification_Log!$C$5:$C$304,$A58,Qualification_Log!$U$5:$U$304,"Active"))</f>
        <v/>
      </c>
      <c r="E58" s="32" t="str">
        <f aca="false">IF($A58="","",COUNTIFS(Qualification_Log!$C$5:$C$304,$A58,Qualification_Log!$Q$5:$Q$304,"Yes",Qualification_Log!$R$5:$R$304,"&gt;="&amp;$B$3,Qualification_Log!$R$5:$R$304,"&lt;="&amp;$B$4))</f>
        <v/>
      </c>
      <c r="F58" s="32" t="str">
        <f aca="false">IF($A58="","",COUNTIFS(Qualification_Log!$C$5:$C$304,$A58,Qualification_Log!$G$5:$G$304,"Quality Incident",Qualification_Log!$B$5:$B$304,"&gt;="&amp;$B$3,Qualification_Log!$B$5:$B$304,"&lt;="&amp;$B$4)+COUNTIFS(Qualification_Log!$C$5:$C$304,$A58,Qualification_Log!$G$5:$G$304,"Decertification",Qualification_Log!$O$5:$O$304,"&lt;&gt;",Qualification_Log!$B$5:$B$304,"&gt;="&amp;$B$3,Qualification_Log!$B$5:$B$304,"&lt;="&amp;$B$4))</f>
        <v/>
      </c>
      <c r="G58" s="32" t="str">
        <f aca="false">IF($A58="","",COUNTIFS(Qualification_Log!$C$5:$C$304,$A58,Qualification_Log!$O$5:$O$304,"Critical",Qualification_Log!$B$5:$B$304,"&gt;="&amp;$B$3,Qualification_Log!$B$5:$B$304,"&lt;="&amp;$B$4))</f>
        <v/>
      </c>
      <c r="H58" s="33" t="str">
        <f aca="false">IF($A58="","",SUMIFS(Qualification_Log!$N$5:$N$304,Qualification_Log!$C$5:$C$304,$A58,Qualification_Log!$B$5:$B$304,"&gt;="&amp;$B$3,Qualification_Log!$B$5:$B$304,"&lt;="&amp;$B$4))</f>
        <v/>
      </c>
      <c r="I58" s="32" t="str">
        <f aca="false">IF($A58="","",COUNTIFS(Recognition_Log!$C$5:$C$304,$A58,Recognition_Log!$N$5:$N$304,"Approved",Recognition_Log!$O$5:$O$304,"&gt;="&amp;$B$3,Recognition_Log!$O$5:$O$304,"&lt;="&amp;$B$4))</f>
        <v/>
      </c>
      <c r="J58" s="32" t="str">
        <f aca="false">IF($A58="","",SUMIFS(Recognition_Log!$Q$5:$Q$304,Recognition_Log!$C$5:$C$304,$A58,Recognition_Log!$O$5:$O$304,"&gt;="&amp;$B$3,Recognition_Log!$O$5:$O$304,"&lt;="&amp;$B$4))</f>
        <v/>
      </c>
      <c r="K58" s="32" t="str">
        <f aca="false">IF($A58="","",SUMIFS(Corrective_Action_Log!$T$5:$T$304,Corrective_Action_Log!$C$5:$C$304,$A58,Corrective_Action_Log!$N$5:$N$304,"&gt;="&amp;$B$3,Corrective_Action_Log!$N$5:$N$304,"&lt;="&amp;$B$4))</f>
        <v/>
      </c>
      <c r="L58" s="32" t="str">
        <f aca="false">IF($A58="","",J58-K58)</f>
        <v/>
      </c>
      <c r="M58" s="34" t="str">
        <f aca="false">IF($A58="","",IF(OR(G58&gt;0,E58&gt;0),"Under Review",IF(L58&gt;=Reference_Data!$AL$7,"Exemplary",IF(L58&gt;=Reference_Data!$AL$8,"Commendable",IF(L58&gt;=Reference_Data!$AL$9,"Meets Standard","Needs Improvement")))))</f>
        <v/>
      </c>
      <c r="N58" s="34" t="str">
        <f aca="false">IF($A58="","",IF(OR(G58&gt;0,K58&gt;=Reference_Data!$AL$10),"Ineligible","Eligible"))</f>
        <v/>
      </c>
      <c r="O58" s="32" t="str">
        <f aca="false">IF($A58="","",RANK(L58,$L$7:$L$106))</f>
        <v/>
      </c>
    </row>
    <row r="59" customFormat="false" ht="15" hidden="false" customHeight="false" outlineLevel="0" collapsed="false">
      <c r="A59" s="31" t="str">
        <f aca="false">IF(Employee_Master!A57="","",Employee_Master!A57)</f>
        <v/>
      </c>
      <c r="B59" s="31" t="str">
        <f aca="false">IF($A59="","",Employee_Master!B57)</f>
        <v/>
      </c>
      <c r="C59" s="31" t="str">
        <f aca="false">IF($A59="","",Employee_Master!C57)</f>
        <v/>
      </c>
      <c r="D59" s="32" t="str">
        <f aca="false">IF($A59="","",COUNTIFS(Qualification_Log!$C$5:$C$304,$A59,Qualification_Log!$U$5:$U$304,"Active"))</f>
        <v/>
      </c>
      <c r="E59" s="32" t="str">
        <f aca="false">IF($A59="","",COUNTIFS(Qualification_Log!$C$5:$C$304,$A59,Qualification_Log!$Q$5:$Q$304,"Yes",Qualification_Log!$R$5:$R$304,"&gt;="&amp;$B$3,Qualification_Log!$R$5:$R$304,"&lt;="&amp;$B$4))</f>
        <v/>
      </c>
      <c r="F59" s="32" t="str">
        <f aca="false">IF($A59="","",COUNTIFS(Qualification_Log!$C$5:$C$304,$A59,Qualification_Log!$G$5:$G$304,"Quality Incident",Qualification_Log!$B$5:$B$304,"&gt;="&amp;$B$3,Qualification_Log!$B$5:$B$304,"&lt;="&amp;$B$4)+COUNTIFS(Qualification_Log!$C$5:$C$304,$A59,Qualification_Log!$G$5:$G$304,"Decertification",Qualification_Log!$O$5:$O$304,"&lt;&gt;",Qualification_Log!$B$5:$B$304,"&gt;="&amp;$B$3,Qualification_Log!$B$5:$B$304,"&lt;="&amp;$B$4))</f>
        <v/>
      </c>
      <c r="G59" s="32" t="str">
        <f aca="false">IF($A59="","",COUNTIFS(Qualification_Log!$C$5:$C$304,$A59,Qualification_Log!$O$5:$O$304,"Critical",Qualification_Log!$B$5:$B$304,"&gt;="&amp;$B$3,Qualification_Log!$B$5:$B$304,"&lt;="&amp;$B$4))</f>
        <v/>
      </c>
      <c r="H59" s="33" t="str">
        <f aca="false">IF($A59="","",SUMIFS(Qualification_Log!$N$5:$N$304,Qualification_Log!$C$5:$C$304,$A59,Qualification_Log!$B$5:$B$304,"&gt;="&amp;$B$3,Qualification_Log!$B$5:$B$304,"&lt;="&amp;$B$4))</f>
        <v/>
      </c>
      <c r="I59" s="32" t="str">
        <f aca="false">IF($A59="","",COUNTIFS(Recognition_Log!$C$5:$C$304,$A59,Recognition_Log!$N$5:$N$304,"Approved",Recognition_Log!$O$5:$O$304,"&gt;="&amp;$B$3,Recognition_Log!$O$5:$O$304,"&lt;="&amp;$B$4))</f>
        <v/>
      </c>
      <c r="J59" s="32" t="str">
        <f aca="false">IF($A59="","",SUMIFS(Recognition_Log!$Q$5:$Q$304,Recognition_Log!$C$5:$C$304,$A59,Recognition_Log!$O$5:$O$304,"&gt;="&amp;$B$3,Recognition_Log!$O$5:$O$304,"&lt;="&amp;$B$4))</f>
        <v/>
      </c>
      <c r="K59" s="32" t="str">
        <f aca="false">IF($A59="","",SUMIFS(Corrective_Action_Log!$T$5:$T$304,Corrective_Action_Log!$C$5:$C$304,$A59,Corrective_Action_Log!$N$5:$N$304,"&gt;="&amp;$B$3,Corrective_Action_Log!$N$5:$N$304,"&lt;="&amp;$B$4))</f>
        <v/>
      </c>
      <c r="L59" s="32" t="str">
        <f aca="false">IF($A59="","",J59-K59)</f>
        <v/>
      </c>
      <c r="M59" s="34" t="str">
        <f aca="false">IF($A59="","",IF(OR(G59&gt;0,E59&gt;0),"Under Review",IF(L59&gt;=Reference_Data!$AL$7,"Exemplary",IF(L59&gt;=Reference_Data!$AL$8,"Commendable",IF(L59&gt;=Reference_Data!$AL$9,"Meets Standard","Needs Improvement")))))</f>
        <v/>
      </c>
      <c r="N59" s="34" t="str">
        <f aca="false">IF($A59="","",IF(OR(G59&gt;0,K59&gt;=Reference_Data!$AL$10),"Ineligible","Eligible"))</f>
        <v/>
      </c>
      <c r="O59" s="32" t="str">
        <f aca="false">IF($A59="","",RANK(L59,$L$7:$L$106))</f>
        <v/>
      </c>
    </row>
    <row r="60" customFormat="false" ht="15" hidden="false" customHeight="false" outlineLevel="0" collapsed="false">
      <c r="A60" s="31" t="str">
        <f aca="false">IF(Employee_Master!A58="","",Employee_Master!A58)</f>
        <v/>
      </c>
      <c r="B60" s="31" t="str">
        <f aca="false">IF($A60="","",Employee_Master!B58)</f>
        <v/>
      </c>
      <c r="C60" s="31" t="str">
        <f aca="false">IF($A60="","",Employee_Master!C58)</f>
        <v/>
      </c>
      <c r="D60" s="32" t="str">
        <f aca="false">IF($A60="","",COUNTIFS(Qualification_Log!$C$5:$C$304,$A60,Qualification_Log!$U$5:$U$304,"Active"))</f>
        <v/>
      </c>
      <c r="E60" s="32" t="str">
        <f aca="false">IF($A60="","",COUNTIFS(Qualification_Log!$C$5:$C$304,$A60,Qualification_Log!$Q$5:$Q$304,"Yes",Qualification_Log!$R$5:$R$304,"&gt;="&amp;$B$3,Qualification_Log!$R$5:$R$304,"&lt;="&amp;$B$4))</f>
        <v/>
      </c>
      <c r="F60" s="32" t="str">
        <f aca="false">IF($A60="","",COUNTIFS(Qualification_Log!$C$5:$C$304,$A60,Qualification_Log!$G$5:$G$304,"Quality Incident",Qualification_Log!$B$5:$B$304,"&gt;="&amp;$B$3,Qualification_Log!$B$5:$B$304,"&lt;="&amp;$B$4)+COUNTIFS(Qualification_Log!$C$5:$C$304,$A60,Qualification_Log!$G$5:$G$304,"Decertification",Qualification_Log!$O$5:$O$304,"&lt;&gt;",Qualification_Log!$B$5:$B$304,"&gt;="&amp;$B$3,Qualification_Log!$B$5:$B$304,"&lt;="&amp;$B$4))</f>
        <v/>
      </c>
      <c r="G60" s="32" t="str">
        <f aca="false">IF($A60="","",COUNTIFS(Qualification_Log!$C$5:$C$304,$A60,Qualification_Log!$O$5:$O$304,"Critical",Qualification_Log!$B$5:$B$304,"&gt;="&amp;$B$3,Qualification_Log!$B$5:$B$304,"&lt;="&amp;$B$4))</f>
        <v/>
      </c>
      <c r="H60" s="33" t="str">
        <f aca="false">IF($A60="","",SUMIFS(Qualification_Log!$N$5:$N$304,Qualification_Log!$C$5:$C$304,$A60,Qualification_Log!$B$5:$B$304,"&gt;="&amp;$B$3,Qualification_Log!$B$5:$B$304,"&lt;="&amp;$B$4))</f>
        <v/>
      </c>
      <c r="I60" s="32" t="str">
        <f aca="false">IF($A60="","",COUNTIFS(Recognition_Log!$C$5:$C$304,$A60,Recognition_Log!$N$5:$N$304,"Approved",Recognition_Log!$O$5:$O$304,"&gt;="&amp;$B$3,Recognition_Log!$O$5:$O$304,"&lt;="&amp;$B$4))</f>
        <v/>
      </c>
      <c r="J60" s="32" t="str">
        <f aca="false">IF($A60="","",SUMIFS(Recognition_Log!$Q$5:$Q$304,Recognition_Log!$C$5:$C$304,$A60,Recognition_Log!$O$5:$O$304,"&gt;="&amp;$B$3,Recognition_Log!$O$5:$O$304,"&lt;="&amp;$B$4))</f>
        <v/>
      </c>
      <c r="K60" s="32" t="str">
        <f aca="false">IF($A60="","",SUMIFS(Corrective_Action_Log!$T$5:$T$304,Corrective_Action_Log!$C$5:$C$304,$A60,Corrective_Action_Log!$N$5:$N$304,"&gt;="&amp;$B$3,Corrective_Action_Log!$N$5:$N$304,"&lt;="&amp;$B$4))</f>
        <v/>
      </c>
      <c r="L60" s="32" t="str">
        <f aca="false">IF($A60="","",J60-K60)</f>
        <v/>
      </c>
      <c r="M60" s="34" t="str">
        <f aca="false">IF($A60="","",IF(OR(G60&gt;0,E60&gt;0),"Under Review",IF(L60&gt;=Reference_Data!$AL$7,"Exemplary",IF(L60&gt;=Reference_Data!$AL$8,"Commendable",IF(L60&gt;=Reference_Data!$AL$9,"Meets Standard","Needs Improvement")))))</f>
        <v/>
      </c>
      <c r="N60" s="34" t="str">
        <f aca="false">IF($A60="","",IF(OR(G60&gt;0,K60&gt;=Reference_Data!$AL$10),"Ineligible","Eligible"))</f>
        <v/>
      </c>
      <c r="O60" s="32" t="str">
        <f aca="false">IF($A60="","",RANK(L60,$L$7:$L$106))</f>
        <v/>
      </c>
    </row>
    <row r="61" customFormat="false" ht="15" hidden="false" customHeight="false" outlineLevel="0" collapsed="false">
      <c r="A61" s="31" t="str">
        <f aca="false">IF(Employee_Master!A59="","",Employee_Master!A59)</f>
        <v/>
      </c>
      <c r="B61" s="31" t="str">
        <f aca="false">IF($A61="","",Employee_Master!B59)</f>
        <v/>
      </c>
      <c r="C61" s="31" t="str">
        <f aca="false">IF($A61="","",Employee_Master!C59)</f>
        <v/>
      </c>
      <c r="D61" s="32" t="str">
        <f aca="false">IF($A61="","",COUNTIFS(Qualification_Log!$C$5:$C$304,$A61,Qualification_Log!$U$5:$U$304,"Active"))</f>
        <v/>
      </c>
      <c r="E61" s="32" t="str">
        <f aca="false">IF($A61="","",COUNTIFS(Qualification_Log!$C$5:$C$304,$A61,Qualification_Log!$Q$5:$Q$304,"Yes",Qualification_Log!$R$5:$R$304,"&gt;="&amp;$B$3,Qualification_Log!$R$5:$R$304,"&lt;="&amp;$B$4))</f>
        <v/>
      </c>
      <c r="F61" s="32" t="str">
        <f aca="false">IF($A61="","",COUNTIFS(Qualification_Log!$C$5:$C$304,$A61,Qualification_Log!$G$5:$G$304,"Quality Incident",Qualification_Log!$B$5:$B$304,"&gt;="&amp;$B$3,Qualification_Log!$B$5:$B$304,"&lt;="&amp;$B$4)+COUNTIFS(Qualification_Log!$C$5:$C$304,$A61,Qualification_Log!$G$5:$G$304,"Decertification",Qualification_Log!$O$5:$O$304,"&lt;&gt;",Qualification_Log!$B$5:$B$304,"&gt;="&amp;$B$3,Qualification_Log!$B$5:$B$304,"&lt;="&amp;$B$4))</f>
        <v/>
      </c>
      <c r="G61" s="32" t="str">
        <f aca="false">IF($A61="","",COUNTIFS(Qualification_Log!$C$5:$C$304,$A61,Qualification_Log!$O$5:$O$304,"Critical",Qualification_Log!$B$5:$B$304,"&gt;="&amp;$B$3,Qualification_Log!$B$5:$B$304,"&lt;="&amp;$B$4))</f>
        <v/>
      </c>
      <c r="H61" s="33" t="str">
        <f aca="false">IF($A61="","",SUMIFS(Qualification_Log!$N$5:$N$304,Qualification_Log!$C$5:$C$304,$A61,Qualification_Log!$B$5:$B$304,"&gt;="&amp;$B$3,Qualification_Log!$B$5:$B$304,"&lt;="&amp;$B$4))</f>
        <v/>
      </c>
      <c r="I61" s="32" t="str">
        <f aca="false">IF($A61="","",COUNTIFS(Recognition_Log!$C$5:$C$304,$A61,Recognition_Log!$N$5:$N$304,"Approved",Recognition_Log!$O$5:$O$304,"&gt;="&amp;$B$3,Recognition_Log!$O$5:$O$304,"&lt;="&amp;$B$4))</f>
        <v/>
      </c>
      <c r="J61" s="32" t="str">
        <f aca="false">IF($A61="","",SUMIFS(Recognition_Log!$Q$5:$Q$304,Recognition_Log!$C$5:$C$304,$A61,Recognition_Log!$O$5:$O$304,"&gt;="&amp;$B$3,Recognition_Log!$O$5:$O$304,"&lt;="&amp;$B$4))</f>
        <v/>
      </c>
      <c r="K61" s="32" t="str">
        <f aca="false">IF($A61="","",SUMIFS(Corrective_Action_Log!$T$5:$T$304,Corrective_Action_Log!$C$5:$C$304,$A61,Corrective_Action_Log!$N$5:$N$304,"&gt;="&amp;$B$3,Corrective_Action_Log!$N$5:$N$304,"&lt;="&amp;$B$4))</f>
        <v/>
      </c>
      <c r="L61" s="32" t="str">
        <f aca="false">IF($A61="","",J61-K61)</f>
        <v/>
      </c>
      <c r="M61" s="34" t="str">
        <f aca="false">IF($A61="","",IF(OR(G61&gt;0,E61&gt;0),"Under Review",IF(L61&gt;=Reference_Data!$AL$7,"Exemplary",IF(L61&gt;=Reference_Data!$AL$8,"Commendable",IF(L61&gt;=Reference_Data!$AL$9,"Meets Standard","Needs Improvement")))))</f>
        <v/>
      </c>
      <c r="N61" s="34" t="str">
        <f aca="false">IF($A61="","",IF(OR(G61&gt;0,K61&gt;=Reference_Data!$AL$10),"Ineligible","Eligible"))</f>
        <v/>
      </c>
      <c r="O61" s="32" t="str">
        <f aca="false">IF($A61="","",RANK(L61,$L$7:$L$106))</f>
        <v/>
      </c>
    </row>
    <row r="62" customFormat="false" ht="15" hidden="false" customHeight="false" outlineLevel="0" collapsed="false">
      <c r="A62" s="31" t="str">
        <f aca="false">IF(Employee_Master!A60="","",Employee_Master!A60)</f>
        <v/>
      </c>
      <c r="B62" s="31" t="str">
        <f aca="false">IF($A62="","",Employee_Master!B60)</f>
        <v/>
      </c>
      <c r="C62" s="31" t="str">
        <f aca="false">IF($A62="","",Employee_Master!C60)</f>
        <v/>
      </c>
      <c r="D62" s="32" t="str">
        <f aca="false">IF($A62="","",COUNTIFS(Qualification_Log!$C$5:$C$304,$A62,Qualification_Log!$U$5:$U$304,"Active"))</f>
        <v/>
      </c>
      <c r="E62" s="32" t="str">
        <f aca="false">IF($A62="","",COUNTIFS(Qualification_Log!$C$5:$C$304,$A62,Qualification_Log!$Q$5:$Q$304,"Yes",Qualification_Log!$R$5:$R$304,"&gt;="&amp;$B$3,Qualification_Log!$R$5:$R$304,"&lt;="&amp;$B$4))</f>
        <v/>
      </c>
      <c r="F62" s="32" t="str">
        <f aca="false">IF($A62="","",COUNTIFS(Qualification_Log!$C$5:$C$304,$A62,Qualification_Log!$G$5:$G$304,"Quality Incident",Qualification_Log!$B$5:$B$304,"&gt;="&amp;$B$3,Qualification_Log!$B$5:$B$304,"&lt;="&amp;$B$4)+COUNTIFS(Qualification_Log!$C$5:$C$304,$A62,Qualification_Log!$G$5:$G$304,"Decertification",Qualification_Log!$O$5:$O$304,"&lt;&gt;",Qualification_Log!$B$5:$B$304,"&gt;="&amp;$B$3,Qualification_Log!$B$5:$B$304,"&lt;="&amp;$B$4))</f>
        <v/>
      </c>
      <c r="G62" s="32" t="str">
        <f aca="false">IF($A62="","",COUNTIFS(Qualification_Log!$C$5:$C$304,$A62,Qualification_Log!$O$5:$O$304,"Critical",Qualification_Log!$B$5:$B$304,"&gt;="&amp;$B$3,Qualification_Log!$B$5:$B$304,"&lt;="&amp;$B$4))</f>
        <v/>
      </c>
      <c r="H62" s="33" t="str">
        <f aca="false">IF($A62="","",SUMIFS(Qualification_Log!$N$5:$N$304,Qualification_Log!$C$5:$C$304,$A62,Qualification_Log!$B$5:$B$304,"&gt;="&amp;$B$3,Qualification_Log!$B$5:$B$304,"&lt;="&amp;$B$4))</f>
        <v/>
      </c>
      <c r="I62" s="32" t="str">
        <f aca="false">IF($A62="","",COUNTIFS(Recognition_Log!$C$5:$C$304,$A62,Recognition_Log!$N$5:$N$304,"Approved",Recognition_Log!$O$5:$O$304,"&gt;="&amp;$B$3,Recognition_Log!$O$5:$O$304,"&lt;="&amp;$B$4))</f>
        <v/>
      </c>
      <c r="J62" s="32" t="str">
        <f aca="false">IF($A62="","",SUMIFS(Recognition_Log!$Q$5:$Q$304,Recognition_Log!$C$5:$C$304,$A62,Recognition_Log!$O$5:$O$304,"&gt;="&amp;$B$3,Recognition_Log!$O$5:$O$304,"&lt;="&amp;$B$4))</f>
        <v/>
      </c>
      <c r="K62" s="32" t="str">
        <f aca="false">IF($A62="","",SUMIFS(Corrective_Action_Log!$T$5:$T$304,Corrective_Action_Log!$C$5:$C$304,$A62,Corrective_Action_Log!$N$5:$N$304,"&gt;="&amp;$B$3,Corrective_Action_Log!$N$5:$N$304,"&lt;="&amp;$B$4))</f>
        <v/>
      </c>
      <c r="L62" s="32" t="str">
        <f aca="false">IF($A62="","",J62-K62)</f>
        <v/>
      </c>
      <c r="M62" s="34" t="str">
        <f aca="false">IF($A62="","",IF(OR(G62&gt;0,E62&gt;0),"Under Review",IF(L62&gt;=Reference_Data!$AL$7,"Exemplary",IF(L62&gt;=Reference_Data!$AL$8,"Commendable",IF(L62&gt;=Reference_Data!$AL$9,"Meets Standard","Needs Improvement")))))</f>
        <v/>
      </c>
      <c r="N62" s="34" t="str">
        <f aca="false">IF($A62="","",IF(OR(G62&gt;0,K62&gt;=Reference_Data!$AL$10),"Ineligible","Eligible"))</f>
        <v/>
      </c>
      <c r="O62" s="32" t="str">
        <f aca="false">IF($A62="","",RANK(L62,$L$7:$L$106))</f>
        <v/>
      </c>
    </row>
    <row r="63" customFormat="false" ht="15" hidden="false" customHeight="false" outlineLevel="0" collapsed="false">
      <c r="A63" s="31" t="str">
        <f aca="false">IF(Employee_Master!A61="","",Employee_Master!A61)</f>
        <v/>
      </c>
      <c r="B63" s="31" t="str">
        <f aca="false">IF($A63="","",Employee_Master!B61)</f>
        <v/>
      </c>
      <c r="C63" s="31" t="str">
        <f aca="false">IF($A63="","",Employee_Master!C61)</f>
        <v/>
      </c>
      <c r="D63" s="32" t="str">
        <f aca="false">IF($A63="","",COUNTIFS(Qualification_Log!$C$5:$C$304,$A63,Qualification_Log!$U$5:$U$304,"Active"))</f>
        <v/>
      </c>
      <c r="E63" s="32" t="str">
        <f aca="false">IF($A63="","",COUNTIFS(Qualification_Log!$C$5:$C$304,$A63,Qualification_Log!$Q$5:$Q$304,"Yes",Qualification_Log!$R$5:$R$304,"&gt;="&amp;$B$3,Qualification_Log!$R$5:$R$304,"&lt;="&amp;$B$4))</f>
        <v/>
      </c>
      <c r="F63" s="32" t="str">
        <f aca="false">IF($A63="","",COUNTIFS(Qualification_Log!$C$5:$C$304,$A63,Qualification_Log!$G$5:$G$304,"Quality Incident",Qualification_Log!$B$5:$B$304,"&gt;="&amp;$B$3,Qualification_Log!$B$5:$B$304,"&lt;="&amp;$B$4)+COUNTIFS(Qualification_Log!$C$5:$C$304,$A63,Qualification_Log!$G$5:$G$304,"Decertification",Qualification_Log!$O$5:$O$304,"&lt;&gt;",Qualification_Log!$B$5:$B$304,"&gt;="&amp;$B$3,Qualification_Log!$B$5:$B$304,"&lt;="&amp;$B$4))</f>
        <v/>
      </c>
      <c r="G63" s="32" t="str">
        <f aca="false">IF($A63="","",COUNTIFS(Qualification_Log!$C$5:$C$304,$A63,Qualification_Log!$O$5:$O$304,"Critical",Qualification_Log!$B$5:$B$304,"&gt;="&amp;$B$3,Qualification_Log!$B$5:$B$304,"&lt;="&amp;$B$4))</f>
        <v/>
      </c>
      <c r="H63" s="33" t="str">
        <f aca="false">IF($A63="","",SUMIFS(Qualification_Log!$N$5:$N$304,Qualification_Log!$C$5:$C$304,$A63,Qualification_Log!$B$5:$B$304,"&gt;="&amp;$B$3,Qualification_Log!$B$5:$B$304,"&lt;="&amp;$B$4))</f>
        <v/>
      </c>
      <c r="I63" s="32" t="str">
        <f aca="false">IF($A63="","",COUNTIFS(Recognition_Log!$C$5:$C$304,$A63,Recognition_Log!$N$5:$N$304,"Approved",Recognition_Log!$O$5:$O$304,"&gt;="&amp;$B$3,Recognition_Log!$O$5:$O$304,"&lt;="&amp;$B$4))</f>
        <v/>
      </c>
      <c r="J63" s="32" t="str">
        <f aca="false">IF($A63="","",SUMIFS(Recognition_Log!$Q$5:$Q$304,Recognition_Log!$C$5:$C$304,$A63,Recognition_Log!$O$5:$O$304,"&gt;="&amp;$B$3,Recognition_Log!$O$5:$O$304,"&lt;="&amp;$B$4))</f>
        <v/>
      </c>
      <c r="K63" s="32" t="str">
        <f aca="false">IF($A63="","",SUMIFS(Corrective_Action_Log!$T$5:$T$304,Corrective_Action_Log!$C$5:$C$304,$A63,Corrective_Action_Log!$N$5:$N$304,"&gt;="&amp;$B$3,Corrective_Action_Log!$N$5:$N$304,"&lt;="&amp;$B$4))</f>
        <v/>
      </c>
      <c r="L63" s="32" t="str">
        <f aca="false">IF($A63="","",J63-K63)</f>
        <v/>
      </c>
      <c r="M63" s="34" t="str">
        <f aca="false">IF($A63="","",IF(OR(G63&gt;0,E63&gt;0),"Under Review",IF(L63&gt;=Reference_Data!$AL$7,"Exemplary",IF(L63&gt;=Reference_Data!$AL$8,"Commendable",IF(L63&gt;=Reference_Data!$AL$9,"Meets Standard","Needs Improvement")))))</f>
        <v/>
      </c>
      <c r="N63" s="34" t="str">
        <f aca="false">IF($A63="","",IF(OR(G63&gt;0,K63&gt;=Reference_Data!$AL$10),"Ineligible","Eligible"))</f>
        <v/>
      </c>
      <c r="O63" s="32" t="str">
        <f aca="false">IF($A63="","",RANK(L63,$L$7:$L$106))</f>
        <v/>
      </c>
    </row>
    <row r="64" customFormat="false" ht="15" hidden="false" customHeight="false" outlineLevel="0" collapsed="false">
      <c r="A64" s="31" t="str">
        <f aca="false">IF(Employee_Master!A62="","",Employee_Master!A62)</f>
        <v/>
      </c>
      <c r="B64" s="31" t="str">
        <f aca="false">IF($A64="","",Employee_Master!B62)</f>
        <v/>
      </c>
      <c r="C64" s="31" t="str">
        <f aca="false">IF($A64="","",Employee_Master!C62)</f>
        <v/>
      </c>
      <c r="D64" s="32" t="str">
        <f aca="false">IF($A64="","",COUNTIFS(Qualification_Log!$C$5:$C$304,$A64,Qualification_Log!$U$5:$U$304,"Active"))</f>
        <v/>
      </c>
      <c r="E64" s="32" t="str">
        <f aca="false">IF($A64="","",COUNTIFS(Qualification_Log!$C$5:$C$304,$A64,Qualification_Log!$Q$5:$Q$304,"Yes",Qualification_Log!$R$5:$R$304,"&gt;="&amp;$B$3,Qualification_Log!$R$5:$R$304,"&lt;="&amp;$B$4))</f>
        <v/>
      </c>
      <c r="F64" s="32" t="str">
        <f aca="false">IF($A64="","",COUNTIFS(Qualification_Log!$C$5:$C$304,$A64,Qualification_Log!$G$5:$G$304,"Quality Incident",Qualification_Log!$B$5:$B$304,"&gt;="&amp;$B$3,Qualification_Log!$B$5:$B$304,"&lt;="&amp;$B$4)+COUNTIFS(Qualification_Log!$C$5:$C$304,$A64,Qualification_Log!$G$5:$G$304,"Decertification",Qualification_Log!$O$5:$O$304,"&lt;&gt;",Qualification_Log!$B$5:$B$304,"&gt;="&amp;$B$3,Qualification_Log!$B$5:$B$304,"&lt;="&amp;$B$4))</f>
        <v/>
      </c>
      <c r="G64" s="32" t="str">
        <f aca="false">IF($A64="","",COUNTIFS(Qualification_Log!$C$5:$C$304,$A64,Qualification_Log!$O$5:$O$304,"Critical",Qualification_Log!$B$5:$B$304,"&gt;="&amp;$B$3,Qualification_Log!$B$5:$B$304,"&lt;="&amp;$B$4))</f>
        <v/>
      </c>
      <c r="H64" s="33" t="str">
        <f aca="false">IF($A64="","",SUMIFS(Qualification_Log!$N$5:$N$304,Qualification_Log!$C$5:$C$304,$A64,Qualification_Log!$B$5:$B$304,"&gt;="&amp;$B$3,Qualification_Log!$B$5:$B$304,"&lt;="&amp;$B$4))</f>
        <v/>
      </c>
      <c r="I64" s="32" t="str">
        <f aca="false">IF($A64="","",COUNTIFS(Recognition_Log!$C$5:$C$304,$A64,Recognition_Log!$N$5:$N$304,"Approved",Recognition_Log!$O$5:$O$304,"&gt;="&amp;$B$3,Recognition_Log!$O$5:$O$304,"&lt;="&amp;$B$4))</f>
        <v/>
      </c>
      <c r="J64" s="32" t="str">
        <f aca="false">IF($A64="","",SUMIFS(Recognition_Log!$Q$5:$Q$304,Recognition_Log!$C$5:$C$304,$A64,Recognition_Log!$O$5:$O$304,"&gt;="&amp;$B$3,Recognition_Log!$O$5:$O$304,"&lt;="&amp;$B$4))</f>
        <v/>
      </c>
      <c r="K64" s="32" t="str">
        <f aca="false">IF($A64="","",SUMIFS(Corrective_Action_Log!$T$5:$T$304,Corrective_Action_Log!$C$5:$C$304,$A64,Corrective_Action_Log!$N$5:$N$304,"&gt;="&amp;$B$3,Corrective_Action_Log!$N$5:$N$304,"&lt;="&amp;$B$4))</f>
        <v/>
      </c>
      <c r="L64" s="32" t="str">
        <f aca="false">IF($A64="","",J64-K64)</f>
        <v/>
      </c>
      <c r="M64" s="34" t="str">
        <f aca="false">IF($A64="","",IF(OR(G64&gt;0,E64&gt;0),"Under Review",IF(L64&gt;=Reference_Data!$AL$7,"Exemplary",IF(L64&gt;=Reference_Data!$AL$8,"Commendable",IF(L64&gt;=Reference_Data!$AL$9,"Meets Standard","Needs Improvement")))))</f>
        <v/>
      </c>
      <c r="N64" s="34" t="str">
        <f aca="false">IF($A64="","",IF(OR(G64&gt;0,K64&gt;=Reference_Data!$AL$10),"Ineligible","Eligible"))</f>
        <v/>
      </c>
      <c r="O64" s="32" t="str">
        <f aca="false">IF($A64="","",RANK(L64,$L$7:$L$106))</f>
        <v/>
      </c>
    </row>
    <row r="65" customFormat="false" ht="15" hidden="false" customHeight="false" outlineLevel="0" collapsed="false">
      <c r="A65" s="31" t="str">
        <f aca="false">IF(Employee_Master!A63="","",Employee_Master!A63)</f>
        <v/>
      </c>
      <c r="B65" s="31" t="str">
        <f aca="false">IF($A65="","",Employee_Master!B63)</f>
        <v/>
      </c>
      <c r="C65" s="31" t="str">
        <f aca="false">IF($A65="","",Employee_Master!C63)</f>
        <v/>
      </c>
      <c r="D65" s="32" t="str">
        <f aca="false">IF($A65="","",COUNTIFS(Qualification_Log!$C$5:$C$304,$A65,Qualification_Log!$U$5:$U$304,"Active"))</f>
        <v/>
      </c>
      <c r="E65" s="32" t="str">
        <f aca="false">IF($A65="","",COUNTIFS(Qualification_Log!$C$5:$C$304,$A65,Qualification_Log!$Q$5:$Q$304,"Yes",Qualification_Log!$R$5:$R$304,"&gt;="&amp;$B$3,Qualification_Log!$R$5:$R$304,"&lt;="&amp;$B$4))</f>
        <v/>
      </c>
      <c r="F65" s="32" t="str">
        <f aca="false">IF($A65="","",COUNTIFS(Qualification_Log!$C$5:$C$304,$A65,Qualification_Log!$G$5:$G$304,"Quality Incident",Qualification_Log!$B$5:$B$304,"&gt;="&amp;$B$3,Qualification_Log!$B$5:$B$304,"&lt;="&amp;$B$4)+COUNTIFS(Qualification_Log!$C$5:$C$304,$A65,Qualification_Log!$G$5:$G$304,"Decertification",Qualification_Log!$O$5:$O$304,"&lt;&gt;",Qualification_Log!$B$5:$B$304,"&gt;="&amp;$B$3,Qualification_Log!$B$5:$B$304,"&lt;="&amp;$B$4))</f>
        <v/>
      </c>
      <c r="G65" s="32" t="str">
        <f aca="false">IF($A65="","",COUNTIFS(Qualification_Log!$C$5:$C$304,$A65,Qualification_Log!$O$5:$O$304,"Critical",Qualification_Log!$B$5:$B$304,"&gt;="&amp;$B$3,Qualification_Log!$B$5:$B$304,"&lt;="&amp;$B$4))</f>
        <v/>
      </c>
      <c r="H65" s="33" t="str">
        <f aca="false">IF($A65="","",SUMIFS(Qualification_Log!$N$5:$N$304,Qualification_Log!$C$5:$C$304,$A65,Qualification_Log!$B$5:$B$304,"&gt;="&amp;$B$3,Qualification_Log!$B$5:$B$304,"&lt;="&amp;$B$4))</f>
        <v/>
      </c>
      <c r="I65" s="32" t="str">
        <f aca="false">IF($A65="","",COUNTIFS(Recognition_Log!$C$5:$C$304,$A65,Recognition_Log!$N$5:$N$304,"Approved",Recognition_Log!$O$5:$O$304,"&gt;="&amp;$B$3,Recognition_Log!$O$5:$O$304,"&lt;="&amp;$B$4))</f>
        <v/>
      </c>
      <c r="J65" s="32" t="str">
        <f aca="false">IF($A65="","",SUMIFS(Recognition_Log!$Q$5:$Q$304,Recognition_Log!$C$5:$C$304,$A65,Recognition_Log!$O$5:$O$304,"&gt;="&amp;$B$3,Recognition_Log!$O$5:$O$304,"&lt;="&amp;$B$4))</f>
        <v/>
      </c>
      <c r="K65" s="32" t="str">
        <f aca="false">IF($A65="","",SUMIFS(Corrective_Action_Log!$T$5:$T$304,Corrective_Action_Log!$C$5:$C$304,$A65,Corrective_Action_Log!$N$5:$N$304,"&gt;="&amp;$B$3,Corrective_Action_Log!$N$5:$N$304,"&lt;="&amp;$B$4))</f>
        <v/>
      </c>
      <c r="L65" s="32" t="str">
        <f aca="false">IF($A65="","",J65-K65)</f>
        <v/>
      </c>
      <c r="M65" s="34" t="str">
        <f aca="false">IF($A65="","",IF(OR(G65&gt;0,E65&gt;0),"Under Review",IF(L65&gt;=Reference_Data!$AL$7,"Exemplary",IF(L65&gt;=Reference_Data!$AL$8,"Commendable",IF(L65&gt;=Reference_Data!$AL$9,"Meets Standard","Needs Improvement")))))</f>
        <v/>
      </c>
      <c r="N65" s="34" t="str">
        <f aca="false">IF($A65="","",IF(OR(G65&gt;0,K65&gt;=Reference_Data!$AL$10),"Ineligible","Eligible"))</f>
        <v/>
      </c>
      <c r="O65" s="32" t="str">
        <f aca="false">IF($A65="","",RANK(L65,$L$7:$L$106))</f>
        <v/>
      </c>
    </row>
    <row r="66" customFormat="false" ht="15" hidden="false" customHeight="false" outlineLevel="0" collapsed="false">
      <c r="A66" s="31" t="str">
        <f aca="false">IF(Employee_Master!A64="","",Employee_Master!A64)</f>
        <v/>
      </c>
      <c r="B66" s="31" t="str">
        <f aca="false">IF($A66="","",Employee_Master!B64)</f>
        <v/>
      </c>
      <c r="C66" s="31" t="str">
        <f aca="false">IF($A66="","",Employee_Master!C64)</f>
        <v/>
      </c>
      <c r="D66" s="32" t="str">
        <f aca="false">IF($A66="","",COUNTIFS(Qualification_Log!$C$5:$C$304,$A66,Qualification_Log!$U$5:$U$304,"Active"))</f>
        <v/>
      </c>
      <c r="E66" s="32" t="str">
        <f aca="false">IF($A66="","",COUNTIFS(Qualification_Log!$C$5:$C$304,$A66,Qualification_Log!$Q$5:$Q$304,"Yes",Qualification_Log!$R$5:$R$304,"&gt;="&amp;$B$3,Qualification_Log!$R$5:$R$304,"&lt;="&amp;$B$4))</f>
        <v/>
      </c>
      <c r="F66" s="32" t="str">
        <f aca="false">IF($A66="","",COUNTIFS(Qualification_Log!$C$5:$C$304,$A66,Qualification_Log!$G$5:$G$304,"Quality Incident",Qualification_Log!$B$5:$B$304,"&gt;="&amp;$B$3,Qualification_Log!$B$5:$B$304,"&lt;="&amp;$B$4)+COUNTIFS(Qualification_Log!$C$5:$C$304,$A66,Qualification_Log!$G$5:$G$304,"Decertification",Qualification_Log!$O$5:$O$304,"&lt;&gt;",Qualification_Log!$B$5:$B$304,"&gt;="&amp;$B$3,Qualification_Log!$B$5:$B$304,"&lt;="&amp;$B$4))</f>
        <v/>
      </c>
      <c r="G66" s="32" t="str">
        <f aca="false">IF($A66="","",COUNTIFS(Qualification_Log!$C$5:$C$304,$A66,Qualification_Log!$O$5:$O$304,"Critical",Qualification_Log!$B$5:$B$304,"&gt;="&amp;$B$3,Qualification_Log!$B$5:$B$304,"&lt;="&amp;$B$4))</f>
        <v/>
      </c>
      <c r="H66" s="33" t="str">
        <f aca="false">IF($A66="","",SUMIFS(Qualification_Log!$N$5:$N$304,Qualification_Log!$C$5:$C$304,$A66,Qualification_Log!$B$5:$B$304,"&gt;="&amp;$B$3,Qualification_Log!$B$5:$B$304,"&lt;="&amp;$B$4))</f>
        <v/>
      </c>
      <c r="I66" s="32" t="str">
        <f aca="false">IF($A66="","",COUNTIFS(Recognition_Log!$C$5:$C$304,$A66,Recognition_Log!$N$5:$N$304,"Approved",Recognition_Log!$O$5:$O$304,"&gt;="&amp;$B$3,Recognition_Log!$O$5:$O$304,"&lt;="&amp;$B$4))</f>
        <v/>
      </c>
      <c r="J66" s="32" t="str">
        <f aca="false">IF($A66="","",SUMIFS(Recognition_Log!$Q$5:$Q$304,Recognition_Log!$C$5:$C$304,$A66,Recognition_Log!$O$5:$O$304,"&gt;="&amp;$B$3,Recognition_Log!$O$5:$O$304,"&lt;="&amp;$B$4))</f>
        <v/>
      </c>
      <c r="K66" s="32" t="str">
        <f aca="false">IF($A66="","",SUMIFS(Corrective_Action_Log!$T$5:$T$304,Corrective_Action_Log!$C$5:$C$304,$A66,Corrective_Action_Log!$N$5:$N$304,"&gt;="&amp;$B$3,Corrective_Action_Log!$N$5:$N$304,"&lt;="&amp;$B$4))</f>
        <v/>
      </c>
      <c r="L66" s="32" t="str">
        <f aca="false">IF($A66="","",J66-K66)</f>
        <v/>
      </c>
      <c r="M66" s="34" t="str">
        <f aca="false">IF($A66="","",IF(OR(G66&gt;0,E66&gt;0),"Under Review",IF(L66&gt;=Reference_Data!$AL$7,"Exemplary",IF(L66&gt;=Reference_Data!$AL$8,"Commendable",IF(L66&gt;=Reference_Data!$AL$9,"Meets Standard","Needs Improvement")))))</f>
        <v/>
      </c>
      <c r="N66" s="34" t="str">
        <f aca="false">IF($A66="","",IF(OR(G66&gt;0,K66&gt;=Reference_Data!$AL$10),"Ineligible","Eligible"))</f>
        <v/>
      </c>
      <c r="O66" s="32" t="str">
        <f aca="false">IF($A66="","",RANK(L66,$L$7:$L$106))</f>
        <v/>
      </c>
    </row>
    <row r="67" customFormat="false" ht="15" hidden="false" customHeight="false" outlineLevel="0" collapsed="false">
      <c r="A67" s="31" t="str">
        <f aca="false">IF(Employee_Master!A65="","",Employee_Master!A65)</f>
        <v/>
      </c>
      <c r="B67" s="31" t="str">
        <f aca="false">IF($A67="","",Employee_Master!B65)</f>
        <v/>
      </c>
      <c r="C67" s="31" t="str">
        <f aca="false">IF($A67="","",Employee_Master!C65)</f>
        <v/>
      </c>
      <c r="D67" s="32" t="str">
        <f aca="false">IF($A67="","",COUNTIFS(Qualification_Log!$C$5:$C$304,$A67,Qualification_Log!$U$5:$U$304,"Active"))</f>
        <v/>
      </c>
      <c r="E67" s="32" t="str">
        <f aca="false">IF($A67="","",COUNTIFS(Qualification_Log!$C$5:$C$304,$A67,Qualification_Log!$Q$5:$Q$304,"Yes",Qualification_Log!$R$5:$R$304,"&gt;="&amp;$B$3,Qualification_Log!$R$5:$R$304,"&lt;="&amp;$B$4))</f>
        <v/>
      </c>
      <c r="F67" s="32" t="str">
        <f aca="false">IF($A67="","",COUNTIFS(Qualification_Log!$C$5:$C$304,$A67,Qualification_Log!$G$5:$G$304,"Quality Incident",Qualification_Log!$B$5:$B$304,"&gt;="&amp;$B$3,Qualification_Log!$B$5:$B$304,"&lt;="&amp;$B$4)+COUNTIFS(Qualification_Log!$C$5:$C$304,$A67,Qualification_Log!$G$5:$G$304,"Decertification",Qualification_Log!$O$5:$O$304,"&lt;&gt;",Qualification_Log!$B$5:$B$304,"&gt;="&amp;$B$3,Qualification_Log!$B$5:$B$304,"&lt;="&amp;$B$4))</f>
        <v/>
      </c>
      <c r="G67" s="32" t="str">
        <f aca="false">IF($A67="","",COUNTIFS(Qualification_Log!$C$5:$C$304,$A67,Qualification_Log!$O$5:$O$304,"Critical",Qualification_Log!$B$5:$B$304,"&gt;="&amp;$B$3,Qualification_Log!$B$5:$B$304,"&lt;="&amp;$B$4))</f>
        <v/>
      </c>
      <c r="H67" s="33" t="str">
        <f aca="false">IF($A67="","",SUMIFS(Qualification_Log!$N$5:$N$304,Qualification_Log!$C$5:$C$304,$A67,Qualification_Log!$B$5:$B$304,"&gt;="&amp;$B$3,Qualification_Log!$B$5:$B$304,"&lt;="&amp;$B$4))</f>
        <v/>
      </c>
      <c r="I67" s="32" t="str">
        <f aca="false">IF($A67="","",COUNTIFS(Recognition_Log!$C$5:$C$304,$A67,Recognition_Log!$N$5:$N$304,"Approved",Recognition_Log!$O$5:$O$304,"&gt;="&amp;$B$3,Recognition_Log!$O$5:$O$304,"&lt;="&amp;$B$4))</f>
        <v/>
      </c>
      <c r="J67" s="32" t="str">
        <f aca="false">IF($A67="","",SUMIFS(Recognition_Log!$Q$5:$Q$304,Recognition_Log!$C$5:$C$304,$A67,Recognition_Log!$O$5:$O$304,"&gt;="&amp;$B$3,Recognition_Log!$O$5:$O$304,"&lt;="&amp;$B$4))</f>
        <v/>
      </c>
      <c r="K67" s="32" t="str">
        <f aca="false">IF($A67="","",SUMIFS(Corrective_Action_Log!$T$5:$T$304,Corrective_Action_Log!$C$5:$C$304,$A67,Corrective_Action_Log!$N$5:$N$304,"&gt;="&amp;$B$3,Corrective_Action_Log!$N$5:$N$304,"&lt;="&amp;$B$4))</f>
        <v/>
      </c>
      <c r="L67" s="32" t="str">
        <f aca="false">IF($A67="","",J67-K67)</f>
        <v/>
      </c>
      <c r="M67" s="34" t="str">
        <f aca="false">IF($A67="","",IF(OR(G67&gt;0,E67&gt;0),"Under Review",IF(L67&gt;=Reference_Data!$AL$7,"Exemplary",IF(L67&gt;=Reference_Data!$AL$8,"Commendable",IF(L67&gt;=Reference_Data!$AL$9,"Meets Standard","Needs Improvement")))))</f>
        <v/>
      </c>
      <c r="N67" s="34" t="str">
        <f aca="false">IF($A67="","",IF(OR(G67&gt;0,K67&gt;=Reference_Data!$AL$10),"Ineligible","Eligible"))</f>
        <v/>
      </c>
      <c r="O67" s="32" t="str">
        <f aca="false">IF($A67="","",RANK(L67,$L$7:$L$106))</f>
        <v/>
      </c>
    </row>
    <row r="68" customFormat="false" ht="15" hidden="false" customHeight="false" outlineLevel="0" collapsed="false">
      <c r="A68" s="31" t="str">
        <f aca="false">IF(Employee_Master!A66="","",Employee_Master!A66)</f>
        <v/>
      </c>
      <c r="B68" s="31" t="str">
        <f aca="false">IF($A68="","",Employee_Master!B66)</f>
        <v/>
      </c>
      <c r="C68" s="31" t="str">
        <f aca="false">IF($A68="","",Employee_Master!C66)</f>
        <v/>
      </c>
      <c r="D68" s="32" t="str">
        <f aca="false">IF($A68="","",COUNTIFS(Qualification_Log!$C$5:$C$304,$A68,Qualification_Log!$U$5:$U$304,"Active"))</f>
        <v/>
      </c>
      <c r="E68" s="32" t="str">
        <f aca="false">IF($A68="","",COUNTIFS(Qualification_Log!$C$5:$C$304,$A68,Qualification_Log!$Q$5:$Q$304,"Yes",Qualification_Log!$R$5:$R$304,"&gt;="&amp;$B$3,Qualification_Log!$R$5:$R$304,"&lt;="&amp;$B$4))</f>
        <v/>
      </c>
      <c r="F68" s="32" t="str">
        <f aca="false">IF($A68="","",COUNTIFS(Qualification_Log!$C$5:$C$304,$A68,Qualification_Log!$G$5:$G$304,"Quality Incident",Qualification_Log!$B$5:$B$304,"&gt;="&amp;$B$3,Qualification_Log!$B$5:$B$304,"&lt;="&amp;$B$4)+COUNTIFS(Qualification_Log!$C$5:$C$304,$A68,Qualification_Log!$G$5:$G$304,"Decertification",Qualification_Log!$O$5:$O$304,"&lt;&gt;",Qualification_Log!$B$5:$B$304,"&gt;="&amp;$B$3,Qualification_Log!$B$5:$B$304,"&lt;="&amp;$B$4))</f>
        <v/>
      </c>
      <c r="G68" s="32" t="str">
        <f aca="false">IF($A68="","",COUNTIFS(Qualification_Log!$C$5:$C$304,$A68,Qualification_Log!$O$5:$O$304,"Critical",Qualification_Log!$B$5:$B$304,"&gt;="&amp;$B$3,Qualification_Log!$B$5:$B$304,"&lt;="&amp;$B$4))</f>
        <v/>
      </c>
      <c r="H68" s="33" t="str">
        <f aca="false">IF($A68="","",SUMIFS(Qualification_Log!$N$5:$N$304,Qualification_Log!$C$5:$C$304,$A68,Qualification_Log!$B$5:$B$304,"&gt;="&amp;$B$3,Qualification_Log!$B$5:$B$304,"&lt;="&amp;$B$4))</f>
        <v/>
      </c>
      <c r="I68" s="32" t="str">
        <f aca="false">IF($A68="","",COUNTIFS(Recognition_Log!$C$5:$C$304,$A68,Recognition_Log!$N$5:$N$304,"Approved",Recognition_Log!$O$5:$O$304,"&gt;="&amp;$B$3,Recognition_Log!$O$5:$O$304,"&lt;="&amp;$B$4))</f>
        <v/>
      </c>
      <c r="J68" s="32" t="str">
        <f aca="false">IF($A68="","",SUMIFS(Recognition_Log!$Q$5:$Q$304,Recognition_Log!$C$5:$C$304,$A68,Recognition_Log!$O$5:$O$304,"&gt;="&amp;$B$3,Recognition_Log!$O$5:$O$304,"&lt;="&amp;$B$4))</f>
        <v/>
      </c>
      <c r="K68" s="32" t="str">
        <f aca="false">IF($A68="","",SUMIFS(Corrective_Action_Log!$T$5:$T$304,Corrective_Action_Log!$C$5:$C$304,$A68,Corrective_Action_Log!$N$5:$N$304,"&gt;="&amp;$B$3,Corrective_Action_Log!$N$5:$N$304,"&lt;="&amp;$B$4))</f>
        <v/>
      </c>
      <c r="L68" s="32" t="str">
        <f aca="false">IF($A68="","",J68-K68)</f>
        <v/>
      </c>
      <c r="M68" s="34" t="str">
        <f aca="false">IF($A68="","",IF(OR(G68&gt;0,E68&gt;0),"Under Review",IF(L68&gt;=Reference_Data!$AL$7,"Exemplary",IF(L68&gt;=Reference_Data!$AL$8,"Commendable",IF(L68&gt;=Reference_Data!$AL$9,"Meets Standard","Needs Improvement")))))</f>
        <v/>
      </c>
      <c r="N68" s="34" t="str">
        <f aca="false">IF($A68="","",IF(OR(G68&gt;0,K68&gt;=Reference_Data!$AL$10),"Ineligible","Eligible"))</f>
        <v/>
      </c>
      <c r="O68" s="32" t="str">
        <f aca="false">IF($A68="","",RANK(L68,$L$7:$L$106))</f>
        <v/>
      </c>
    </row>
    <row r="69" customFormat="false" ht="15" hidden="false" customHeight="false" outlineLevel="0" collapsed="false">
      <c r="A69" s="31" t="str">
        <f aca="false">IF(Employee_Master!A67="","",Employee_Master!A67)</f>
        <v/>
      </c>
      <c r="B69" s="31" t="str">
        <f aca="false">IF($A69="","",Employee_Master!B67)</f>
        <v/>
      </c>
      <c r="C69" s="31" t="str">
        <f aca="false">IF($A69="","",Employee_Master!C67)</f>
        <v/>
      </c>
      <c r="D69" s="32" t="str">
        <f aca="false">IF($A69="","",COUNTIFS(Qualification_Log!$C$5:$C$304,$A69,Qualification_Log!$U$5:$U$304,"Active"))</f>
        <v/>
      </c>
      <c r="E69" s="32" t="str">
        <f aca="false">IF($A69="","",COUNTIFS(Qualification_Log!$C$5:$C$304,$A69,Qualification_Log!$Q$5:$Q$304,"Yes",Qualification_Log!$R$5:$R$304,"&gt;="&amp;$B$3,Qualification_Log!$R$5:$R$304,"&lt;="&amp;$B$4))</f>
        <v/>
      </c>
      <c r="F69" s="32" t="str">
        <f aca="false">IF($A69="","",COUNTIFS(Qualification_Log!$C$5:$C$304,$A69,Qualification_Log!$G$5:$G$304,"Quality Incident",Qualification_Log!$B$5:$B$304,"&gt;="&amp;$B$3,Qualification_Log!$B$5:$B$304,"&lt;="&amp;$B$4)+COUNTIFS(Qualification_Log!$C$5:$C$304,$A69,Qualification_Log!$G$5:$G$304,"Decertification",Qualification_Log!$O$5:$O$304,"&lt;&gt;",Qualification_Log!$B$5:$B$304,"&gt;="&amp;$B$3,Qualification_Log!$B$5:$B$304,"&lt;="&amp;$B$4))</f>
        <v/>
      </c>
      <c r="G69" s="32" t="str">
        <f aca="false">IF($A69="","",COUNTIFS(Qualification_Log!$C$5:$C$304,$A69,Qualification_Log!$O$5:$O$304,"Critical",Qualification_Log!$B$5:$B$304,"&gt;="&amp;$B$3,Qualification_Log!$B$5:$B$304,"&lt;="&amp;$B$4))</f>
        <v/>
      </c>
      <c r="H69" s="33" t="str">
        <f aca="false">IF($A69="","",SUMIFS(Qualification_Log!$N$5:$N$304,Qualification_Log!$C$5:$C$304,$A69,Qualification_Log!$B$5:$B$304,"&gt;="&amp;$B$3,Qualification_Log!$B$5:$B$304,"&lt;="&amp;$B$4))</f>
        <v/>
      </c>
      <c r="I69" s="32" t="str">
        <f aca="false">IF($A69="","",COUNTIFS(Recognition_Log!$C$5:$C$304,$A69,Recognition_Log!$N$5:$N$304,"Approved",Recognition_Log!$O$5:$O$304,"&gt;="&amp;$B$3,Recognition_Log!$O$5:$O$304,"&lt;="&amp;$B$4))</f>
        <v/>
      </c>
      <c r="J69" s="32" t="str">
        <f aca="false">IF($A69="","",SUMIFS(Recognition_Log!$Q$5:$Q$304,Recognition_Log!$C$5:$C$304,$A69,Recognition_Log!$O$5:$O$304,"&gt;="&amp;$B$3,Recognition_Log!$O$5:$O$304,"&lt;="&amp;$B$4))</f>
        <v/>
      </c>
      <c r="K69" s="32" t="str">
        <f aca="false">IF($A69="","",SUMIFS(Corrective_Action_Log!$T$5:$T$304,Corrective_Action_Log!$C$5:$C$304,$A69,Corrective_Action_Log!$N$5:$N$304,"&gt;="&amp;$B$3,Corrective_Action_Log!$N$5:$N$304,"&lt;="&amp;$B$4))</f>
        <v/>
      </c>
      <c r="L69" s="32" t="str">
        <f aca="false">IF($A69="","",J69-K69)</f>
        <v/>
      </c>
      <c r="M69" s="34" t="str">
        <f aca="false">IF($A69="","",IF(OR(G69&gt;0,E69&gt;0),"Under Review",IF(L69&gt;=Reference_Data!$AL$7,"Exemplary",IF(L69&gt;=Reference_Data!$AL$8,"Commendable",IF(L69&gt;=Reference_Data!$AL$9,"Meets Standard","Needs Improvement")))))</f>
        <v/>
      </c>
      <c r="N69" s="34" t="str">
        <f aca="false">IF($A69="","",IF(OR(G69&gt;0,K69&gt;=Reference_Data!$AL$10),"Ineligible","Eligible"))</f>
        <v/>
      </c>
      <c r="O69" s="32" t="str">
        <f aca="false">IF($A69="","",RANK(L69,$L$7:$L$106))</f>
        <v/>
      </c>
    </row>
    <row r="70" customFormat="false" ht="15" hidden="false" customHeight="false" outlineLevel="0" collapsed="false">
      <c r="A70" s="31" t="str">
        <f aca="false">IF(Employee_Master!A68="","",Employee_Master!A68)</f>
        <v/>
      </c>
      <c r="B70" s="31" t="str">
        <f aca="false">IF($A70="","",Employee_Master!B68)</f>
        <v/>
      </c>
      <c r="C70" s="31" t="str">
        <f aca="false">IF($A70="","",Employee_Master!C68)</f>
        <v/>
      </c>
      <c r="D70" s="32" t="str">
        <f aca="false">IF($A70="","",COUNTIFS(Qualification_Log!$C$5:$C$304,$A70,Qualification_Log!$U$5:$U$304,"Active"))</f>
        <v/>
      </c>
      <c r="E70" s="32" t="str">
        <f aca="false">IF($A70="","",COUNTIFS(Qualification_Log!$C$5:$C$304,$A70,Qualification_Log!$Q$5:$Q$304,"Yes",Qualification_Log!$R$5:$R$304,"&gt;="&amp;$B$3,Qualification_Log!$R$5:$R$304,"&lt;="&amp;$B$4))</f>
        <v/>
      </c>
      <c r="F70" s="32" t="str">
        <f aca="false">IF($A70="","",COUNTIFS(Qualification_Log!$C$5:$C$304,$A70,Qualification_Log!$G$5:$G$304,"Quality Incident",Qualification_Log!$B$5:$B$304,"&gt;="&amp;$B$3,Qualification_Log!$B$5:$B$304,"&lt;="&amp;$B$4)+COUNTIFS(Qualification_Log!$C$5:$C$304,$A70,Qualification_Log!$G$5:$G$304,"Decertification",Qualification_Log!$O$5:$O$304,"&lt;&gt;",Qualification_Log!$B$5:$B$304,"&gt;="&amp;$B$3,Qualification_Log!$B$5:$B$304,"&lt;="&amp;$B$4))</f>
        <v/>
      </c>
      <c r="G70" s="32" t="str">
        <f aca="false">IF($A70="","",COUNTIFS(Qualification_Log!$C$5:$C$304,$A70,Qualification_Log!$O$5:$O$304,"Critical",Qualification_Log!$B$5:$B$304,"&gt;="&amp;$B$3,Qualification_Log!$B$5:$B$304,"&lt;="&amp;$B$4))</f>
        <v/>
      </c>
      <c r="H70" s="33" t="str">
        <f aca="false">IF($A70="","",SUMIFS(Qualification_Log!$N$5:$N$304,Qualification_Log!$C$5:$C$304,$A70,Qualification_Log!$B$5:$B$304,"&gt;="&amp;$B$3,Qualification_Log!$B$5:$B$304,"&lt;="&amp;$B$4))</f>
        <v/>
      </c>
      <c r="I70" s="32" t="str">
        <f aca="false">IF($A70="","",COUNTIFS(Recognition_Log!$C$5:$C$304,$A70,Recognition_Log!$N$5:$N$304,"Approved",Recognition_Log!$O$5:$O$304,"&gt;="&amp;$B$3,Recognition_Log!$O$5:$O$304,"&lt;="&amp;$B$4))</f>
        <v/>
      </c>
      <c r="J70" s="32" t="str">
        <f aca="false">IF($A70="","",SUMIFS(Recognition_Log!$Q$5:$Q$304,Recognition_Log!$C$5:$C$304,$A70,Recognition_Log!$O$5:$O$304,"&gt;="&amp;$B$3,Recognition_Log!$O$5:$O$304,"&lt;="&amp;$B$4))</f>
        <v/>
      </c>
      <c r="K70" s="32" t="str">
        <f aca="false">IF($A70="","",SUMIFS(Corrective_Action_Log!$T$5:$T$304,Corrective_Action_Log!$C$5:$C$304,$A70,Corrective_Action_Log!$N$5:$N$304,"&gt;="&amp;$B$3,Corrective_Action_Log!$N$5:$N$304,"&lt;="&amp;$B$4))</f>
        <v/>
      </c>
      <c r="L70" s="32" t="str">
        <f aca="false">IF($A70="","",J70-K70)</f>
        <v/>
      </c>
      <c r="M70" s="34" t="str">
        <f aca="false">IF($A70="","",IF(OR(G70&gt;0,E70&gt;0),"Under Review",IF(L70&gt;=Reference_Data!$AL$7,"Exemplary",IF(L70&gt;=Reference_Data!$AL$8,"Commendable",IF(L70&gt;=Reference_Data!$AL$9,"Meets Standard","Needs Improvement")))))</f>
        <v/>
      </c>
      <c r="N70" s="34" t="str">
        <f aca="false">IF($A70="","",IF(OR(G70&gt;0,K70&gt;=Reference_Data!$AL$10),"Ineligible","Eligible"))</f>
        <v/>
      </c>
      <c r="O70" s="32" t="str">
        <f aca="false">IF($A70="","",RANK(L70,$L$7:$L$106))</f>
        <v/>
      </c>
    </row>
    <row r="71" customFormat="false" ht="15" hidden="false" customHeight="false" outlineLevel="0" collapsed="false">
      <c r="A71" s="31" t="str">
        <f aca="false">IF(Employee_Master!A69="","",Employee_Master!A69)</f>
        <v/>
      </c>
      <c r="B71" s="31" t="str">
        <f aca="false">IF($A71="","",Employee_Master!B69)</f>
        <v/>
      </c>
      <c r="C71" s="31" t="str">
        <f aca="false">IF($A71="","",Employee_Master!C69)</f>
        <v/>
      </c>
      <c r="D71" s="32" t="str">
        <f aca="false">IF($A71="","",COUNTIFS(Qualification_Log!$C$5:$C$304,$A71,Qualification_Log!$U$5:$U$304,"Active"))</f>
        <v/>
      </c>
      <c r="E71" s="32" t="str">
        <f aca="false">IF($A71="","",COUNTIFS(Qualification_Log!$C$5:$C$304,$A71,Qualification_Log!$Q$5:$Q$304,"Yes",Qualification_Log!$R$5:$R$304,"&gt;="&amp;$B$3,Qualification_Log!$R$5:$R$304,"&lt;="&amp;$B$4))</f>
        <v/>
      </c>
      <c r="F71" s="32" t="str">
        <f aca="false">IF($A71="","",COUNTIFS(Qualification_Log!$C$5:$C$304,$A71,Qualification_Log!$G$5:$G$304,"Quality Incident",Qualification_Log!$B$5:$B$304,"&gt;="&amp;$B$3,Qualification_Log!$B$5:$B$304,"&lt;="&amp;$B$4)+COUNTIFS(Qualification_Log!$C$5:$C$304,$A71,Qualification_Log!$G$5:$G$304,"Decertification",Qualification_Log!$O$5:$O$304,"&lt;&gt;",Qualification_Log!$B$5:$B$304,"&gt;="&amp;$B$3,Qualification_Log!$B$5:$B$304,"&lt;="&amp;$B$4))</f>
        <v/>
      </c>
      <c r="G71" s="32" t="str">
        <f aca="false">IF($A71="","",COUNTIFS(Qualification_Log!$C$5:$C$304,$A71,Qualification_Log!$O$5:$O$304,"Critical",Qualification_Log!$B$5:$B$304,"&gt;="&amp;$B$3,Qualification_Log!$B$5:$B$304,"&lt;="&amp;$B$4))</f>
        <v/>
      </c>
      <c r="H71" s="33" t="str">
        <f aca="false">IF($A71="","",SUMIFS(Qualification_Log!$N$5:$N$304,Qualification_Log!$C$5:$C$304,$A71,Qualification_Log!$B$5:$B$304,"&gt;="&amp;$B$3,Qualification_Log!$B$5:$B$304,"&lt;="&amp;$B$4))</f>
        <v/>
      </c>
      <c r="I71" s="32" t="str">
        <f aca="false">IF($A71="","",COUNTIFS(Recognition_Log!$C$5:$C$304,$A71,Recognition_Log!$N$5:$N$304,"Approved",Recognition_Log!$O$5:$O$304,"&gt;="&amp;$B$3,Recognition_Log!$O$5:$O$304,"&lt;="&amp;$B$4))</f>
        <v/>
      </c>
      <c r="J71" s="32" t="str">
        <f aca="false">IF($A71="","",SUMIFS(Recognition_Log!$Q$5:$Q$304,Recognition_Log!$C$5:$C$304,$A71,Recognition_Log!$O$5:$O$304,"&gt;="&amp;$B$3,Recognition_Log!$O$5:$O$304,"&lt;="&amp;$B$4))</f>
        <v/>
      </c>
      <c r="K71" s="32" t="str">
        <f aca="false">IF($A71="","",SUMIFS(Corrective_Action_Log!$T$5:$T$304,Corrective_Action_Log!$C$5:$C$304,$A71,Corrective_Action_Log!$N$5:$N$304,"&gt;="&amp;$B$3,Corrective_Action_Log!$N$5:$N$304,"&lt;="&amp;$B$4))</f>
        <v/>
      </c>
      <c r="L71" s="32" t="str">
        <f aca="false">IF($A71="","",J71-K71)</f>
        <v/>
      </c>
      <c r="M71" s="34" t="str">
        <f aca="false">IF($A71="","",IF(OR(G71&gt;0,E71&gt;0),"Under Review",IF(L71&gt;=Reference_Data!$AL$7,"Exemplary",IF(L71&gt;=Reference_Data!$AL$8,"Commendable",IF(L71&gt;=Reference_Data!$AL$9,"Meets Standard","Needs Improvement")))))</f>
        <v/>
      </c>
      <c r="N71" s="34" t="str">
        <f aca="false">IF($A71="","",IF(OR(G71&gt;0,K71&gt;=Reference_Data!$AL$10),"Ineligible","Eligible"))</f>
        <v/>
      </c>
      <c r="O71" s="32" t="str">
        <f aca="false">IF($A71="","",RANK(L71,$L$7:$L$106))</f>
        <v/>
      </c>
    </row>
    <row r="72" customFormat="false" ht="15" hidden="false" customHeight="false" outlineLevel="0" collapsed="false">
      <c r="A72" s="31" t="str">
        <f aca="false">IF(Employee_Master!A70="","",Employee_Master!A70)</f>
        <v/>
      </c>
      <c r="B72" s="31" t="str">
        <f aca="false">IF($A72="","",Employee_Master!B70)</f>
        <v/>
      </c>
      <c r="C72" s="31" t="str">
        <f aca="false">IF($A72="","",Employee_Master!C70)</f>
        <v/>
      </c>
      <c r="D72" s="32" t="str">
        <f aca="false">IF($A72="","",COUNTIFS(Qualification_Log!$C$5:$C$304,$A72,Qualification_Log!$U$5:$U$304,"Active"))</f>
        <v/>
      </c>
      <c r="E72" s="32" t="str">
        <f aca="false">IF($A72="","",COUNTIFS(Qualification_Log!$C$5:$C$304,$A72,Qualification_Log!$Q$5:$Q$304,"Yes",Qualification_Log!$R$5:$R$304,"&gt;="&amp;$B$3,Qualification_Log!$R$5:$R$304,"&lt;="&amp;$B$4))</f>
        <v/>
      </c>
      <c r="F72" s="32" t="str">
        <f aca="false">IF($A72="","",COUNTIFS(Qualification_Log!$C$5:$C$304,$A72,Qualification_Log!$G$5:$G$304,"Quality Incident",Qualification_Log!$B$5:$B$304,"&gt;="&amp;$B$3,Qualification_Log!$B$5:$B$304,"&lt;="&amp;$B$4)+COUNTIFS(Qualification_Log!$C$5:$C$304,$A72,Qualification_Log!$G$5:$G$304,"Decertification",Qualification_Log!$O$5:$O$304,"&lt;&gt;",Qualification_Log!$B$5:$B$304,"&gt;="&amp;$B$3,Qualification_Log!$B$5:$B$304,"&lt;="&amp;$B$4))</f>
        <v/>
      </c>
      <c r="G72" s="32" t="str">
        <f aca="false">IF($A72="","",COUNTIFS(Qualification_Log!$C$5:$C$304,$A72,Qualification_Log!$O$5:$O$304,"Critical",Qualification_Log!$B$5:$B$304,"&gt;="&amp;$B$3,Qualification_Log!$B$5:$B$304,"&lt;="&amp;$B$4))</f>
        <v/>
      </c>
      <c r="H72" s="33" t="str">
        <f aca="false">IF($A72="","",SUMIFS(Qualification_Log!$N$5:$N$304,Qualification_Log!$C$5:$C$304,$A72,Qualification_Log!$B$5:$B$304,"&gt;="&amp;$B$3,Qualification_Log!$B$5:$B$304,"&lt;="&amp;$B$4))</f>
        <v/>
      </c>
      <c r="I72" s="32" t="str">
        <f aca="false">IF($A72="","",COUNTIFS(Recognition_Log!$C$5:$C$304,$A72,Recognition_Log!$N$5:$N$304,"Approved",Recognition_Log!$O$5:$O$304,"&gt;="&amp;$B$3,Recognition_Log!$O$5:$O$304,"&lt;="&amp;$B$4))</f>
        <v/>
      </c>
      <c r="J72" s="32" t="str">
        <f aca="false">IF($A72="","",SUMIFS(Recognition_Log!$Q$5:$Q$304,Recognition_Log!$C$5:$C$304,$A72,Recognition_Log!$O$5:$O$304,"&gt;="&amp;$B$3,Recognition_Log!$O$5:$O$304,"&lt;="&amp;$B$4))</f>
        <v/>
      </c>
      <c r="K72" s="32" t="str">
        <f aca="false">IF($A72="","",SUMIFS(Corrective_Action_Log!$T$5:$T$304,Corrective_Action_Log!$C$5:$C$304,$A72,Corrective_Action_Log!$N$5:$N$304,"&gt;="&amp;$B$3,Corrective_Action_Log!$N$5:$N$304,"&lt;="&amp;$B$4))</f>
        <v/>
      </c>
      <c r="L72" s="32" t="str">
        <f aca="false">IF($A72="","",J72-K72)</f>
        <v/>
      </c>
      <c r="M72" s="34" t="str">
        <f aca="false">IF($A72="","",IF(OR(G72&gt;0,E72&gt;0),"Under Review",IF(L72&gt;=Reference_Data!$AL$7,"Exemplary",IF(L72&gt;=Reference_Data!$AL$8,"Commendable",IF(L72&gt;=Reference_Data!$AL$9,"Meets Standard","Needs Improvement")))))</f>
        <v/>
      </c>
      <c r="N72" s="34" t="str">
        <f aca="false">IF($A72="","",IF(OR(G72&gt;0,K72&gt;=Reference_Data!$AL$10),"Ineligible","Eligible"))</f>
        <v/>
      </c>
      <c r="O72" s="32" t="str">
        <f aca="false">IF($A72="","",RANK(L72,$L$7:$L$106))</f>
        <v/>
      </c>
    </row>
    <row r="73" customFormat="false" ht="15" hidden="false" customHeight="false" outlineLevel="0" collapsed="false">
      <c r="A73" s="31" t="str">
        <f aca="false">IF(Employee_Master!A71="","",Employee_Master!A71)</f>
        <v/>
      </c>
      <c r="B73" s="31" t="str">
        <f aca="false">IF($A73="","",Employee_Master!B71)</f>
        <v/>
      </c>
      <c r="C73" s="31" t="str">
        <f aca="false">IF($A73="","",Employee_Master!C71)</f>
        <v/>
      </c>
      <c r="D73" s="32" t="str">
        <f aca="false">IF($A73="","",COUNTIFS(Qualification_Log!$C$5:$C$304,$A73,Qualification_Log!$U$5:$U$304,"Active"))</f>
        <v/>
      </c>
      <c r="E73" s="32" t="str">
        <f aca="false">IF($A73="","",COUNTIFS(Qualification_Log!$C$5:$C$304,$A73,Qualification_Log!$Q$5:$Q$304,"Yes",Qualification_Log!$R$5:$R$304,"&gt;="&amp;$B$3,Qualification_Log!$R$5:$R$304,"&lt;="&amp;$B$4))</f>
        <v/>
      </c>
      <c r="F73" s="32" t="str">
        <f aca="false">IF($A73="","",COUNTIFS(Qualification_Log!$C$5:$C$304,$A73,Qualification_Log!$G$5:$G$304,"Quality Incident",Qualification_Log!$B$5:$B$304,"&gt;="&amp;$B$3,Qualification_Log!$B$5:$B$304,"&lt;="&amp;$B$4)+COUNTIFS(Qualification_Log!$C$5:$C$304,$A73,Qualification_Log!$G$5:$G$304,"Decertification",Qualification_Log!$O$5:$O$304,"&lt;&gt;",Qualification_Log!$B$5:$B$304,"&gt;="&amp;$B$3,Qualification_Log!$B$5:$B$304,"&lt;="&amp;$B$4))</f>
        <v/>
      </c>
      <c r="G73" s="32" t="str">
        <f aca="false">IF($A73="","",COUNTIFS(Qualification_Log!$C$5:$C$304,$A73,Qualification_Log!$O$5:$O$304,"Critical",Qualification_Log!$B$5:$B$304,"&gt;="&amp;$B$3,Qualification_Log!$B$5:$B$304,"&lt;="&amp;$B$4))</f>
        <v/>
      </c>
      <c r="H73" s="33" t="str">
        <f aca="false">IF($A73="","",SUMIFS(Qualification_Log!$N$5:$N$304,Qualification_Log!$C$5:$C$304,$A73,Qualification_Log!$B$5:$B$304,"&gt;="&amp;$B$3,Qualification_Log!$B$5:$B$304,"&lt;="&amp;$B$4))</f>
        <v/>
      </c>
      <c r="I73" s="32" t="str">
        <f aca="false">IF($A73="","",COUNTIFS(Recognition_Log!$C$5:$C$304,$A73,Recognition_Log!$N$5:$N$304,"Approved",Recognition_Log!$O$5:$O$304,"&gt;="&amp;$B$3,Recognition_Log!$O$5:$O$304,"&lt;="&amp;$B$4))</f>
        <v/>
      </c>
      <c r="J73" s="32" t="str">
        <f aca="false">IF($A73="","",SUMIFS(Recognition_Log!$Q$5:$Q$304,Recognition_Log!$C$5:$C$304,$A73,Recognition_Log!$O$5:$O$304,"&gt;="&amp;$B$3,Recognition_Log!$O$5:$O$304,"&lt;="&amp;$B$4))</f>
        <v/>
      </c>
      <c r="K73" s="32" t="str">
        <f aca="false">IF($A73="","",SUMIFS(Corrective_Action_Log!$T$5:$T$304,Corrective_Action_Log!$C$5:$C$304,$A73,Corrective_Action_Log!$N$5:$N$304,"&gt;="&amp;$B$3,Corrective_Action_Log!$N$5:$N$304,"&lt;="&amp;$B$4))</f>
        <v/>
      </c>
      <c r="L73" s="32" t="str">
        <f aca="false">IF($A73="","",J73-K73)</f>
        <v/>
      </c>
      <c r="M73" s="34" t="str">
        <f aca="false">IF($A73="","",IF(OR(G73&gt;0,E73&gt;0),"Under Review",IF(L73&gt;=Reference_Data!$AL$7,"Exemplary",IF(L73&gt;=Reference_Data!$AL$8,"Commendable",IF(L73&gt;=Reference_Data!$AL$9,"Meets Standard","Needs Improvement")))))</f>
        <v/>
      </c>
      <c r="N73" s="34" t="str">
        <f aca="false">IF($A73="","",IF(OR(G73&gt;0,K73&gt;=Reference_Data!$AL$10),"Ineligible","Eligible"))</f>
        <v/>
      </c>
      <c r="O73" s="32" t="str">
        <f aca="false">IF($A73="","",RANK(L73,$L$7:$L$106))</f>
        <v/>
      </c>
    </row>
    <row r="74" customFormat="false" ht="15" hidden="false" customHeight="false" outlineLevel="0" collapsed="false">
      <c r="A74" s="31" t="str">
        <f aca="false">IF(Employee_Master!A72="","",Employee_Master!A72)</f>
        <v/>
      </c>
      <c r="B74" s="31" t="str">
        <f aca="false">IF($A74="","",Employee_Master!B72)</f>
        <v/>
      </c>
      <c r="C74" s="31" t="str">
        <f aca="false">IF($A74="","",Employee_Master!C72)</f>
        <v/>
      </c>
      <c r="D74" s="32" t="str">
        <f aca="false">IF($A74="","",COUNTIFS(Qualification_Log!$C$5:$C$304,$A74,Qualification_Log!$U$5:$U$304,"Active"))</f>
        <v/>
      </c>
      <c r="E74" s="32" t="str">
        <f aca="false">IF($A74="","",COUNTIFS(Qualification_Log!$C$5:$C$304,$A74,Qualification_Log!$Q$5:$Q$304,"Yes",Qualification_Log!$R$5:$R$304,"&gt;="&amp;$B$3,Qualification_Log!$R$5:$R$304,"&lt;="&amp;$B$4))</f>
        <v/>
      </c>
      <c r="F74" s="32" t="str">
        <f aca="false">IF($A74="","",COUNTIFS(Qualification_Log!$C$5:$C$304,$A74,Qualification_Log!$G$5:$G$304,"Quality Incident",Qualification_Log!$B$5:$B$304,"&gt;="&amp;$B$3,Qualification_Log!$B$5:$B$304,"&lt;="&amp;$B$4)+COUNTIFS(Qualification_Log!$C$5:$C$304,$A74,Qualification_Log!$G$5:$G$304,"Decertification",Qualification_Log!$O$5:$O$304,"&lt;&gt;",Qualification_Log!$B$5:$B$304,"&gt;="&amp;$B$3,Qualification_Log!$B$5:$B$304,"&lt;="&amp;$B$4))</f>
        <v/>
      </c>
      <c r="G74" s="32" t="str">
        <f aca="false">IF($A74="","",COUNTIFS(Qualification_Log!$C$5:$C$304,$A74,Qualification_Log!$O$5:$O$304,"Critical",Qualification_Log!$B$5:$B$304,"&gt;="&amp;$B$3,Qualification_Log!$B$5:$B$304,"&lt;="&amp;$B$4))</f>
        <v/>
      </c>
      <c r="H74" s="33" t="str">
        <f aca="false">IF($A74="","",SUMIFS(Qualification_Log!$N$5:$N$304,Qualification_Log!$C$5:$C$304,$A74,Qualification_Log!$B$5:$B$304,"&gt;="&amp;$B$3,Qualification_Log!$B$5:$B$304,"&lt;="&amp;$B$4))</f>
        <v/>
      </c>
      <c r="I74" s="32" t="str">
        <f aca="false">IF($A74="","",COUNTIFS(Recognition_Log!$C$5:$C$304,$A74,Recognition_Log!$N$5:$N$304,"Approved",Recognition_Log!$O$5:$O$304,"&gt;="&amp;$B$3,Recognition_Log!$O$5:$O$304,"&lt;="&amp;$B$4))</f>
        <v/>
      </c>
      <c r="J74" s="32" t="str">
        <f aca="false">IF($A74="","",SUMIFS(Recognition_Log!$Q$5:$Q$304,Recognition_Log!$C$5:$C$304,$A74,Recognition_Log!$O$5:$O$304,"&gt;="&amp;$B$3,Recognition_Log!$O$5:$O$304,"&lt;="&amp;$B$4))</f>
        <v/>
      </c>
      <c r="K74" s="32" t="str">
        <f aca="false">IF($A74="","",SUMIFS(Corrective_Action_Log!$T$5:$T$304,Corrective_Action_Log!$C$5:$C$304,$A74,Corrective_Action_Log!$N$5:$N$304,"&gt;="&amp;$B$3,Corrective_Action_Log!$N$5:$N$304,"&lt;="&amp;$B$4))</f>
        <v/>
      </c>
      <c r="L74" s="32" t="str">
        <f aca="false">IF($A74="","",J74-K74)</f>
        <v/>
      </c>
      <c r="M74" s="34" t="str">
        <f aca="false">IF($A74="","",IF(OR(G74&gt;0,E74&gt;0),"Under Review",IF(L74&gt;=Reference_Data!$AL$7,"Exemplary",IF(L74&gt;=Reference_Data!$AL$8,"Commendable",IF(L74&gt;=Reference_Data!$AL$9,"Meets Standard","Needs Improvement")))))</f>
        <v/>
      </c>
      <c r="N74" s="34" t="str">
        <f aca="false">IF($A74="","",IF(OR(G74&gt;0,K74&gt;=Reference_Data!$AL$10),"Ineligible","Eligible"))</f>
        <v/>
      </c>
      <c r="O74" s="32" t="str">
        <f aca="false">IF($A74="","",RANK(L74,$L$7:$L$106))</f>
        <v/>
      </c>
    </row>
    <row r="75" customFormat="false" ht="15" hidden="false" customHeight="false" outlineLevel="0" collapsed="false">
      <c r="A75" s="31" t="str">
        <f aca="false">IF(Employee_Master!A73="","",Employee_Master!A73)</f>
        <v/>
      </c>
      <c r="B75" s="31" t="str">
        <f aca="false">IF($A75="","",Employee_Master!B73)</f>
        <v/>
      </c>
      <c r="C75" s="31" t="str">
        <f aca="false">IF($A75="","",Employee_Master!C73)</f>
        <v/>
      </c>
      <c r="D75" s="32" t="str">
        <f aca="false">IF($A75="","",COUNTIFS(Qualification_Log!$C$5:$C$304,$A75,Qualification_Log!$U$5:$U$304,"Active"))</f>
        <v/>
      </c>
      <c r="E75" s="32" t="str">
        <f aca="false">IF($A75="","",COUNTIFS(Qualification_Log!$C$5:$C$304,$A75,Qualification_Log!$Q$5:$Q$304,"Yes",Qualification_Log!$R$5:$R$304,"&gt;="&amp;$B$3,Qualification_Log!$R$5:$R$304,"&lt;="&amp;$B$4))</f>
        <v/>
      </c>
      <c r="F75" s="32" t="str">
        <f aca="false">IF($A75="","",COUNTIFS(Qualification_Log!$C$5:$C$304,$A75,Qualification_Log!$G$5:$G$304,"Quality Incident",Qualification_Log!$B$5:$B$304,"&gt;="&amp;$B$3,Qualification_Log!$B$5:$B$304,"&lt;="&amp;$B$4)+COUNTIFS(Qualification_Log!$C$5:$C$304,$A75,Qualification_Log!$G$5:$G$304,"Decertification",Qualification_Log!$O$5:$O$304,"&lt;&gt;",Qualification_Log!$B$5:$B$304,"&gt;="&amp;$B$3,Qualification_Log!$B$5:$B$304,"&lt;="&amp;$B$4))</f>
        <v/>
      </c>
      <c r="G75" s="32" t="str">
        <f aca="false">IF($A75="","",COUNTIFS(Qualification_Log!$C$5:$C$304,$A75,Qualification_Log!$O$5:$O$304,"Critical",Qualification_Log!$B$5:$B$304,"&gt;="&amp;$B$3,Qualification_Log!$B$5:$B$304,"&lt;="&amp;$B$4))</f>
        <v/>
      </c>
      <c r="H75" s="33" t="str">
        <f aca="false">IF($A75="","",SUMIFS(Qualification_Log!$N$5:$N$304,Qualification_Log!$C$5:$C$304,$A75,Qualification_Log!$B$5:$B$304,"&gt;="&amp;$B$3,Qualification_Log!$B$5:$B$304,"&lt;="&amp;$B$4))</f>
        <v/>
      </c>
      <c r="I75" s="32" t="str">
        <f aca="false">IF($A75="","",COUNTIFS(Recognition_Log!$C$5:$C$304,$A75,Recognition_Log!$N$5:$N$304,"Approved",Recognition_Log!$O$5:$O$304,"&gt;="&amp;$B$3,Recognition_Log!$O$5:$O$304,"&lt;="&amp;$B$4))</f>
        <v/>
      </c>
      <c r="J75" s="32" t="str">
        <f aca="false">IF($A75="","",SUMIFS(Recognition_Log!$Q$5:$Q$304,Recognition_Log!$C$5:$C$304,$A75,Recognition_Log!$O$5:$O$304,"&gt;="&amp;$B$3,Recognition_Log!$O$5:$O$304,"&lt;="&amp;$B$4))</f>
        <v/>
      </c>
      <c r="K75" s="32" t="str">
        <f aca="false">IF($A75="","",SUMIFS(Corrective_Action_Log!$T$5:$T$304,Corrective_Action_Log!$C$5:$C$304,$A75,Corrective_Action_Log!$N$5:$N$304,"&gt;="&amp;$B$3,Corrective_Action_Log!$N$5:$N$304,"&lt;="&amp;$B$4))</f>
        <v/>
      </c>
      <c r="L75" s="32" t="str">
        <f aca="false">IF($A75="","",J75-K75)</f>
        <v/>
      </c>
      <c r="M75" s="34" t="str">
        <f aca="false">IF($A75="","",IF(OR(G75&gt;0,E75&gt;0),"Under Review",IF(L75&gt;=Reference_Data!$AL$7,"Exemplary",IF(L75&gt;=Reference_Data!$AL$8,"Commendable",IF(L75&gt;=Reference_Data!$AL$9,"Meets Standard","Needs Improvement")))))</f>
        <v/>
      </c>
      <c r="N75" s="34" t="str">
        <f aca="false">IF($A75="","",IF(OR(G75&gt;0,K75&gt;=Reference_Data!$AL$10),"Ineligible","Eligible"))</f>
        <v/>
      </c>
      <c r="O75" s="32" t="str">
        <f aca="false">IF($A75="","",RANK(L75,$L$7:$L$106))</f>
        <v/>
      </c>
    </row>
    <row r="76" customFormat="false" ht="15" hidden="false" customHeight="false" outlineLevel="0" collapsed="false">
      <c r="A76" s="31" t="str">
        <f aca="false">IF(Employee_Master!A74="","",Employee_Master!A74)</f>
        <v/>
      </c>
      <c r="B76" s="31" t="str">
        <f aca="false">IF($A76="","",Employee_Master!B74)</f>
        <v/>
      </c>
      <c r="C76" s="31" t="str">
        <f aca="false">IF($A76="","",Employee_Master!C74)</f>
        <v/>
      </c>
      <c r="D76" s="32" t="str">
        <f aca="false">IF($A76="","",COUNTIFS(Qualification_Log!$C$5:$C$304,$A76,Qualification_Log!$U$5:$U$304,"Active"))</f>
        <v/>
      </c>
      <c r="E76" s="32" t="str">
        <f aca="false">IF($A76="","",COUNTIFS(Qualification_Log!$C$5:$C$304,$A76,Qualification_Log!$Q$5:$Q$304,"Yes",Qualification_Log!$R$5:$R$304,"&gt;="&amp;$B$3,Qualification_Log!$R$5:$R$304,"&lt;="&amp;$B$4))</f>
        <v/>
      </c>
      <c r="F76" s="32" t="str">
        <f aca="false">IF($A76="","",COUNTIFS(Qualification_Log!$C$5:$C$304,$A76,Qualification_Log!$G$5:$G$304,"Quality Incident",Qualification_Log!$B$5:$B$304,"&gt;="&amp;$B$3,Qualification_Log!$B$5:$B$304,"&lt;="&amp;$B$4)+COUNTIFS(Qualification_Log!$C$5:$C$304,$A76,Qualification_Log!$G$5:$G$304,"Decertification",Qualification_Log!$O$5:$O$304,"&lt;&gt;",Qualification_Log!$B$5:$B$304,"&gt;="&amp;$B$3,Qualification_Log!$B$5:$B$304,"&lt;="&amp;$B$4))</f>
        <v/>
      </c>
      <c r="G76" s="32" t="str">
        <f aca="false">IF($A76="","",COUNTIFS(Qualification_Log!$C$5:$C$304,$A76,Qualification_Log!$O$5:$O$304,"Critical",Qualification_Log!$B$5:$B$304,"&gt;="&amp;$B$3,Qualification_Log!$B$5:$B$304,"&lt;="&amp;$B$4))</f>
        <v/>
      </c>
      <c r="H76" s="33" t="str">
        <f aca="false">IF($A76="","",SUMIFS(Qualification_Log!$N$5:$N$304,Qualification_Log!$C$5:$C$304,$A76,Qualification_Log!$B$5:$B$304,"&gt;="&amp;$B$3,Qualification_Log!$B$5:$B$304,"&lt;="&amp;$B$4))</f>
        <v/>
      </c>
      <c r="I76" s="32" t="str">
        <f aca="false">IF($A76="","",COUNTIFS(Recognition_Log!$C$5:$C$304,$A76,Recognition_Log!$N$5:$N$304,"Approved",Recognition_Log!$O$5:$O$304,"&gt;="&amp;$B$3,Recognition_Log!$O$5:$O$304,"&lt;="&amp;$B$4))</f>
        <v/>
      </c>
      <c r="J76" s="32" t="str">
        <f aca="false">IF($A76="","",SUMIFS(Recognition_Log!$Q$5:$Q$304,Recognition_Log!$C$5:$C$304,$A76,Recognition_Log!$O$5:$O$304,"&gt;="&amp;$B$3,Recognition_Log!$O$5:$O$304,"&lt;="&amp;$B$4))</f>
        <v/>
      </c>
      <c r="K76" s="32" t="str">
        <f aca="false">IF($A76="","",SUMIFS(Corrective_Action_Log!$T$5:$T$304,Corrective_Action_Log!$C$5:$C$304,$A76,Corrective_Action_Log!$N$5:$N$304,"&gt;="&amp;$B$3,Corrective_Action_Log!$N$5:$N$304,"&lt;="&amp;$B$4))</f>
        <v/>
      </c>
      <c r="L76" s="32" t="str">
        <f aca="false">IF($A76="","",J76-K76)</f>
        <v/>
      </c>
      <c r="M76" s="34" t="str">
        <f aca="false">IF($A76="","",IF(OR(G76&gt;0,E76&gt;0),"Under Review",IF(L76&gt;=Reference_Data!$AL$7,"Exemplary",IF(L76&gt;=Reference_Data!$AL$8,"Commendable",IF(L76&gt;=Reference_Data!$AL$9,"Meets Standard","Needs Improvement")))))</f>
        <v/>
      </c>
      <c r="N76" s="34" t="str">
        <f aca="false">IF($A76="","",IF(OR(G76&gt;0,K76&gt;=Reference_Data!$AL$10),"Ineligible","Eligible"))</f>
        <v/>
      </c>
      <c r="O76" s="32" t="str">
        <f aca="false">IF($A76="","",RANK(L76,$L$7:$L$106))</f>
        <v/>
      </c>
    </row>
    <row r="77" customFormat="false" ht="15" hidden="false" customHeight="false" outlineLevel="0" collapsed="false">
      <c r="A77" s="31" t="str">
        <f aca="false">IF(Employee_Master!A75="","",Employee_Master!A75)</f>
        <v/>
      </c>
      <c r="B77" s="31" t="str">
        <f aca="false">IF($A77="","",Employee_Master!B75)</f>
        <v/>
      </c>
      <c r="C77" s="31" t="str">
        <f aca="false">IF($A77="","",Employee_Master!C75)</f>
        <v/>
      </c>
      <c r="D77" s="32" t="str">
        <f aca="false">IF($A77="","",COUNTIFS(Qualification_Log!$C$5:$C$304,$A77,Qualification_Log!$U$5:$U$304,"Active"))</f>
        <v/>
      </c>
      <c r="E77" s="32" t="str">
        <f aca="false">IF($A77="","",COUNTIFS(Qualification_Log!$C$5:$C$304,$A77,Qualification_Log!$Q$5:$Q$304,"Yes",Qualification_Log!$R$5:$R$304,"&gt;="&amp;$B$3,Qualification_Log!$R$5:$R$304,"&lt;="&amp;$B$4))</f>
        <v/>
      </c>
      <c r="F77" s="32" t="str">
        <f aca="false">IF($A77="","",COUNTIFS(Qualification_Log!$C$5:$C$304,$A77,Qualification_Log!$G$5:$G$304,"Quality Incident",Qualification_Log!$B$5:$B$304,"&gt;="&amp;$B$3,Qualification_Log!$B$5:$B$304,"&lt;="&amp;$B$4)+COUNTIFS(Qualification_Log!$C$5:$C$304,$A77,Qualification_Log!$G$5:$G$304,"Decertification",Qualification_Log!$O$5:$O$304,"&lt;&gt;",Qualification_Log!$B$5:$B$304,"&gt;="&amp;$B$3,Qualification_Log!$B$5:$B$304,"&lt;="&amp;$B$4))</f>
        <v/>
      </c>
      <c r="G77" s="32" t="str">
        <f aca="false">IF($A77="","",COUNTIFS(Qualification_Log!$C$5:$C$304,$A77,Qualification_Log!$O$5:$O$304,"Critical",Qualification_Log!$B$5:$B$304,"&gt;="&amp;$B$3,Qualification_Log!$B$5:$B$304,"&lt;="&amp;$B$4))</f>
        <v/>
      </c>
      <c r="H77" s="33" t="str">
        <f aca="false">IF($A77="","",SUMIFS(Qualification_Log!$N$5:$N$304,Qualification_Log!$C$5:$C$304,$A77,Qualification_Log!$B$5:$B$304,"&gt;="&amp;$B$3,Qualification_Log!$B$5:$B$304,"&lt;="&amp;$B$4))</f>
        <v/>
      </c>
      <c r="I77" s="32" t="str">
        <f aca="false">IF($A77="","",COUNTIFS(Recognition_Log!$C$5:$C$304,$A77,Recognition_Log!$N$5:$N$304,"Approved",Recognition_Log!$O$5:$O$304,"&gt;="&amp;$B$3,Recognition_Log!$O$5:$O$304,"&lt;="&amp;$B$4))</f>
        <v/>
      </c>
      <c r="J77" s="32" t="str">
        <f aca="false">IF($A77="","",SUMIFS(Recognition_Log!$Q$5:$Q$304,Recognition_Log!$C$5:$C$304,$A77,Recognition_Log!$O$5:$O$304,"&gt;="&amp;$B$3,Recognition_Log!$O$5:$O$304,"&lt;="&amp;$B$4))</f>
        <v/>
      </c>
      <c r="K77" s="32" t="str">
        <f aca="false">IF($A77="","",SUMIFS(Corrective_Action_Log!$T$5:$T$304,Corrective_Action_Log!$C$5:$C$304,$A77,Corrective_Action_Log!$N$5:$N$304,"&gt;="&amp;$B$3,Corrective_Action_Log!$N$5:$N$304,"&lt;="&amp;$B$4))</f>
        <v/>
      </c>
      <c r="L77" s="32" t="str">
        <f aca="false">IF($A77="","",J77-K77)</f>
        <v/>
      </c>
      <c r="M77" s="34" t="str">
        <f aca="false">IF($A77="","",IF(OR(G77&gt;0,E77&gt;0),"Under Review",IF(L77&gt;=Reference_Data!$AL$7,"Exemplary",IF(L77&gt;=Reference_Data!$AL$8,"Commendable",IF(L77&gt;=Reference_Data!$AL$9,"Meets Standard","Needs Improvement")))))</f>
        <v/>
      </c>
      <c r="N77" s="34" t="str">
        <f aca="false">IF($A77="","",IF(OR(G77&gt;0,K77&gt;=Reference_Data!$AL$10),"Ineligible","Eligible"))</f>
        <v/>
      </c>
      <c r="O77" s="32" t="str">
        <f aca="false">IF($A77="","",RANK(L77,$L$7:$L$106))</f>
        <v/>
      </c>
    </row>
    <row r="78" customFormat="false" ht="15" hidden="false" customHeight="false" outlineLevel="0" collapsed="false">
      <c r="A78" s="31" t="str">
        <f aca="false">IF(Employee_Master!A76="","",Employee_Master!A76)</f>
        <v/>
      </c>
      <c r="B78" s="31" t="str">
        <f aca="false">IF($A78="","",Employee_Master!B76)</f>
        <v/>
      </c>
      <c r="C78" s="31" t="str">
        <f aca="false">IF($A78="","",Employee_Master!C76)</f>
        <v/>
      </c>
      <c r="D78" s="32" t="str">
        <f aca="false">IF($A78="","",COUNTIFS(Qualification_Log!$C$5:$C$304,$A78,Qualification_Log!$U$5:$U$304,"Active"))</f>
        <v/>
      </c>
      <c r="E78" s="32" t="str">
        <f aca="false">IF($A78="","",COUNTIFS(Qualification_Log!$C$5:$C$304,$A78,Qualification_Log!$Q$5:$Q$304,"Yes",Qualification_Log!$R$5:$R$304,"&gt;="&amp;$B$3,Qualification_Log!$R$5:$R$304,"&lt;="&amp;$B$4))</f>
        <v/>
      </c>
      <c r="F78" s="32" t="str">
        <f aca="false">IF($A78="","",COUNTIFS(Qualification_Log!$C$5:$C$304,$A78,Qualification_Log!$G$5:$G$304,"Quality Incident",Qualification_Log!$B$5:$B$304,"&gt;="&amp;$B$3,Qualification_Log!$B$5:$B$304,"&lt;="&amp;$B$4)+COUNTIFS(Qualification_Log!$C$5:$C$304,$A78,Qualification_Log!$G$5:$G$304,"Decertification",Qualification_Log!$O$5:$O$304,"&lt;&gt;",Qualification_Log!$B$5:$B$304,"&gt;="&amp;$B$3,Qualification_Log!$B$5:$B$304,"&lt;="&amp;$B$4))</f>
        <v/>
      </c>
      <c r="G78" s="32" t="str">
        <f aca="false">IF($A78="","",COUNTIFS(Qualification_Log!$C$5:$C$304,$A78,Qualification_Log!$O$5:$O$304,"Critical",Qualification_Log!$B$5:$B$304,"&gt;="&amp;$B$3,Qualification_Log!$B$5:$B$304,"&lt;="&amp;$B$4))</f>
        <v/>
      </c>
      <c r="H78" s="33" t="str">
        <f aca="false">IF($A78="","",SUMIFS(Qualification_Log!$N$5:$N$304,Qualification_Log!$C$5:$C$304,$A78,Qualification_Log!$B$5:$B$304,"&gt;="&amp;$B$3,Qualification_Log!$B$5:$B$304,"&lt;="&amp;$B$4))</f>
        <v/>
      </c>
      <c r="I78" s="32" t="str">
        <f aca="false">IF($A78="","",COUNTIFS(Recognition_Log!$C$5:$C$304,$A78,Recognition_Log!$N$5:$N$304,"Approved",Recognition_Log!$O$5:$O$304,"&gt;="&amp;$B$3,Recognition_Log!$O$5:$O$304,"&lt;="&amp;$B$4))</f>
        <v/>
      </c>
      <c r="J78" s="32" t="str">
        <f aca="false">IF($A78="","",SUMIFS(Recognition_Log!$Q$5:$Q$304,Recognition_Log!$C$5:$C$304,$A78,Recognition_Log!$O$5:$O$304,"&gt;="&amp;$B$3,Recognition_Log!$O$5:$O$304,"&lt;="&amp;$B$4))</f>
        <v/>
      </c>
      <c r="K78" s="32" t="str">
        <f aca="false">IF($A78="","",SUMIFS(Corrective_Action_Log!$T$5:$T$304,Corrective_Action_Log!$C$5:$C$304,$A78,Corrective_Action_Log!$N$5:$N$304,"&gt;="&amp;$B$3,Corrective_Action_Log!$N$5:$N$304,"&lt;="&amp;$B$4))</f>
        <v/>
      </c>
      <c r="L78" s="32" t="str">
        <f aca="false">IF($A78="","",J78-K78)</f>
        <v/>
      </c>
      <c r="M78" s="34" t="str">
        <f aca="false">IF($A78="","",IF(OR(G78&gt;0,E78&gt;0),"Under Review",IF(L78&gt;=Reference_Data!$AL$7,"Exemplary",IF(L78&gt;=Reference_Data!$AL$8,"Commendable",IF(L78&gt;=Reference_Data!$AL$9,"Meets Standard","Needs Improvement")))))</f>
        <v/>
      </c>
      <c r="N78" s="34" t="str">
        <f aca="false">IF($A78="","",IF(OR(G78&gt;0,K78&gt;=Reference_Data!$AL$10),"Ineligible","Eligible"))</f>
        <v/>
      </c>
      <c r="O78" s="32" t="str">
        <f aca="false">IF($A78="","",RANK(L78,$L$7:$L$106))</f>
        <v/>
      </c>
    </row>
    <row r="79" customFormat="false" ht="15" hidden="false" customHeight="false" outlineLevel="0" collapsed="false">
      <c r="A79" s="31" t="str">
        <f aca="false">IF(Employee_Master!A77="","",Employee_Master!A77)</f>
        <v/>
      </c>
      <c r="B79" s="31" t="str">
        <f aca="false">IF($A79="","",Employee_Master!B77)</f>
        <v/>
      </c>
      <c r="C79" s="31" t="str">
        <f aca="false">IF($A79="","",Employee_Master!C77)</f>
        <v/>
      </c>
      <c r="D79" s="32" t="str">
        <f aca="false">IF($A79="","",COUNTIFS(Qualification_Log!$C$5:$C$304,$A79,Qualification_Log!$U$5:$U$304,"Active"))</f>
        <v/>
      </c>
      <c r="E79" s="32" t="str">
        <f aca="false">IF($A79="","",COUNTIFS(Qualification_Log!$C$5:$C$304,$A79,Qualification_Log!$Q$5:$Q$304,"Yes",Qualification_Log!$R$5:$R$304,"&gt;="&amp;$B$3,Qualification_Log!$R$5:$R$304,"&lt;="&amp;$B$4))</f>
        <v/>
      </c>
      <c r="F79" s="32" t="str">
        <f aca="false">IF($A79="","",COUNTIFS(Qualification_Log!$C$5:$C$304,$A79,Qualification_Log!$G$5:$G$304,"Quality Incident",Qualification_Log!$B$5:$B$304,"&gt;="&amp;$B$3,Qualification_Log!$B$5:$B$304,"&lt;="&amp;$B$4)+COUNTIFS(Qualification_Log!$C$5:$C$304,$A79,Qualification_Log!$G$5:$G$304,"Decertification",Qualification_Log!$O$5:$O$304,"&lt;&gt;",Qualification_Log!$B$5:$B$304,"&gt;="&amp;$B$3,Qualification_Log!$B$5:$B$304,"&lt;="&amp;$B$4))</f>
        <v/>
      </c>
      <c r="G79" s="32" t="str">
        <f aca="false">IF($A79="","",COUNTIFS(Qualification_Log!$C$5:$C$304,$A79,Qualification_Log!$O$5:$O$304,"Critical",Qualification_Log!$B$5:$B$304,"&gt;="&amp;$B$3,Qualification_Log!$B$5:$B$304,"&lt;="&amp;$B$4))</f>
        <v/>
      </c>
      <c r="H79" s="33" t="str">
        <f aca="false">IF($A79="","",SUMIFS(Qualification_Log!$N$5:$N$304,Qualification_Log!$C$5:$C$304,$A79,Qualification_Log!$B$5:$B$304,"&gt;="&amp;$B$3,Qualification_Log!$B$5:$B$304,"&lt;="&amp;$B$4))</f>
        <v/>
      </c>
      <c r="I79" s="32" t="str">
        <f aca="false">IF($A79="","",COUNTIFS(Recognition_Log!$C$5:$C$304,$A79,Recognition_Log!$N$5:$N$304,"Approved",Recognition_Log!$O$5:$O$304,"&gt;="&amp;$B$3,Recognition_Log!$O$5:$O$304,"&lt;="&amp;$B$4))</f>
        <v/>
      </c>
      <c r="J79" s="32" t="str">
        <f aca="false">IF($A79="","",SUMIFS(Recognition_Log!$Q$5:$Q$304,Recognition_Log!$C$5:$C$304,$A79,Recognition_Log!$O$5:$O$304,"&gt;="&amp;$B$3,Recognition_Log!$O$5:$O$304,"&lt;="&amp;$B$4))</f>
        <v/>
      </c>
      <c r="K79" s="32" t="str">
        <f aca="false">IF($A79="","",SUMIFS(Corrective_Action_Log!$T$5:$T$304,Corrective_Action_Log!$C$5:$C$304,$A79,Corrective_Action_Log!$N$5:$N$304,"&gt;="&amp;$B$3,Corrective_Action_Log!$N$5:$N$304,"&lt;="&amp;$B$4))</f>
        <v/>
      </c>
      <c r="L79" s="32" t="str">
        <f aca="false">IF($A79="","",J79-K79)</f>
        <v/>
      </c>
      <c r="M79" s="34" t="str">
        <f aca="false">IF($A79="","",IF(OR(G79&gt;0,E79&gt;0),"Under Review",IF(L79&gt;=Reference_Data!$AL$7,"Exemplary",IF(L79&gt;=Reference_Data!$AL$8,"Commendable",IF(L79&gt;=Reference_Data!$AL$9,"Meets Standard","Needs Improvement")))))</f>
        <v/>
      </c>
      <c r="N79" s="34" t="str">
        <f aca="false">IF($A79="","",IF(OR(G79&gt;0,K79&gt;=Reference_Data!$AL$10),"Ineligible","Eligible"))</f>
        <v/>
      </c>
      <c r="O79" s="32" t="str">
        <f aca="false">IF($A79="","",RANK(L79,$L$7:$L$106))</f>
        <v/>
      </c>
    </row>
    <row r="80" customFormat="false" ht="15" hidden="false" customHeight="false" outlineLevel="0" collapsed="false">
      <c r="A80" s="31" t="str">
        <f aca="false">IF(Employee_Master!A78="","",Employee_Master!A78)</f>
        <v/>
      </c>
      <c r="B80" s="31" t="str">
        <f aca="false">IF($A80="","",Employee_Master!B78)</f>
        <v/>
      </c>
      <c r="C80" s="31" t="str">
        <f aca="false">IF($A80="","",Employee_Master!C78)</f>
        <v/>
      </c>
      <c r="D80" s="32" t="str">
        <f aca="false">IF($A80="","",COUNTIFS(Qualification_Log!$C$5:$C$304,$A80,Qualification_Log!$U$5:$U$304,"Active"))</f>
        <v/>
      </c>
      <c r="E80" s="32" t="str">
        <f aca="false">IF($A80="","",COUNTIFS(Qualification_Log!$C$5:$C$304,$A80,Qualification_Log!$Q$5:$Q$304,"Yes",Qualification_Log!$R$5:$R$304,"&gt;="&amp;$B$3,Qualification_Log!$R$5:$R$304,"&lt;="&amp;$B$4))</f>
        <v/>
      </c>
      <c r="F80" s="32" t="str">
        <f aca="false">IF($A80="","",COUNTIFS(Qualification_Log!$C$5:$C$304,$A80,Qualification_Log!$G$5:$G$304,"Quality Incident",Qualification_Log!$B$5:$B$304,"&gt;="&amp;$B$3,Qualification_Log!$B$5:$B$304,"&lt;="&amp;$B$4)+COUNTIFS(Qualification_Log!$C$5:$C$304,$A80,Qualification_Log!$G$5:$G$304,"Decertification",Qualification_Log!$O$5:$O$304,"&lt;&gt;",Qualification_Log!$B$5:$B$304,"&gt;="&amp;$B$3,Qualification_Log!$B$5:$B$304,"&lt;="&amp;$B$4))</f>
        <v/>
      </c>
      <c r="G80" s="32" t="str">
        <f aca="false">IF($A80="","",COUNTIFS(Qualification_Log!$C$5:$C$304,$A80,Qualification_Log!$O$5:$O$304,"Critical",Qualification_Log!$B$5:$B$304,"&gt;="&amp;$B$3,Qualification_Log!$B$5:$B$304,"&lt;="&amp;$B$4))</f>
        <v/>
      </c>
      <c r="H80" s="33" t="str">
        <f aca="false">IF($A80="","",SUMIFS(Qualification_Log!$N$5:$N$304,Qualification_Log!$C$5:$C$304,$A80,Qualification_Log!$B$5:$B$304,"&gt;="&amp;$B$3,Qualification_Log!$B$5:$B$304,"&lt;="&amp;$B$4))</f>
        <v/>
      </c>
      <c r="I80" s="32" t="str">
        <f aca="false">IF($A80="","",COUNTIFS(Recognition_Log!$C$5:$C$304,$A80,Recognition_Log!$N$5:$N$304,"Approved",Recognition_Log!$O$5:$O$304,"&gt;="&amp;$B$3,Recognition_Log!$O$5:$O$304,"&lt;="&amp;$B$4))</f>
        <v/>
      </c>
      <c r="J80" s="32" t="str">
        <f aca="false">IF($A80="","",SUMIFS(Recognition_Log!$Q$5:$Q$304,Recognition_Log!$C$5:$C$304,$A80,Recognition_Log!$O$5:$O$304,"&gt;="&amp;$B$3,Recognition_Log!$O$5:$O$304,"&lt;="&amp;$B$4))</f>
        <v/>
      </c>
      <c r="K80" s="32" t="str">
        <f aca="false">IF($A80="","",SUMIFS(Corrective_Action_Log!$T$5:$T$304,Corrective_Action_Log!$C$5:$C$304,$A80,Corrective_Action_Log!$N$5:$N$304,"&gt;="&amp;$B$3,Corrective_Action_Log!$N$5:$N$304,"&lt;="&amp;$B$4))</f>
        <v/>
      </c>
      <c r="L80" s="32" t="str">
        <f aca="false">IF($A80="","",J80-K80)</f>
        <v/>
      </c>
      <c r="M80" s="34" t="str">
        <f aca="false">IF($A80="","",IF(OR(G80&gt;0,E80&gt;0),"Under Review",IF(L80&gt;=Reference_Data!$AL$7,"Exemplary",IF(L80&gt;=Reference_Data!$AL$8,"Commendable",IF(L80&gt;=Reference_Data!$AL$9,"Meets Standard","Needs Improvement")))))</f>
        <v/>
      </c>
      <c r="N80" s="34" t="str">
        <f aca="false">IF($A80="","",IF(OR(G80&gt;0,K80&gt;=Reference_Data!$AL$10),"Ineligible","Eligible"))</f>
        <v/>
      </c>
      <c r="O80" s="32" t="str">
        <f aca="false">IF($A80="","",RANK(L80,$L$7:$L$106))</f>
        <v/>
      </c>
    </row>
    <row r="81" customFormat="false" ht="15" hidden="false" customHeight="false" outlineLevel="0" collapsed="false">
      <c r="A81" s="31" t="str">
        <f aca="false">IF(Employee_Master!A79="","",Employee_Master!A79)</f>
        <v/>
      </c>
      <c r="B81" s="31" t="str">
        <f aca="false">IF($A81="","",Employee_Master!B79)</f>
        <v/>
      </c>
      <c r="C81" s="31" t="str">
        <f aca="false">IF($A81="","",Employee_Master!C79)</f>
        <v/>
      </c>
      <c r="D81" s="32" t="str">
        <f aca="false">IF($A81="","",COUNTIFS(Qualification_Log!$C$5:$C$304,$A81,Qualification_Log!$U$5:$U$304,"Active"))</f>
        <v/>
      </c>
      <c r="E81" s="32" t="str">
        <f aca="false">IF($A81="","",COUNTIFS(Qualification_Log!$C$5:$C$304,$A81,Qualification_Log!$Q$5:$Q$304,"Yes",Qualification_Log!$R$5:$R$304,"&gt;="&amp;$B$3,Qualification_Log!$R$5:$R$304,"&lt;="&amp;$B$4))</f>
        <v/>
      </c>
      <c r="F81" s="32" t="str">
        <f aca="false">IF($A81="","",COUNTIFS(Qualification_Log!$C$5:$C$304,$A81,Qualification_Log!$G$5:$G$304,"Quality Incident",Qualification_Log!$B$5:$B$304,"&gt;="&amp;$B$3,Qualification_Log!$B$5:$B$304,"&lt;="&amp;$B$4)+COUNTIFS(Qualification_Log!$C$5:$C$304,$A81,Qualification_Log!$G$5:$G$304,"Decertification",Qualification_Log!$O$5:$O$304,"&lt;&gt;",Qualification_Log!$B$5:$B$304,"&gt;="&amp;$B$3,Qualification_Log!$B$5:$B$304,"&lt;="&amp;$B$4))</f>
        <v/>
      </c>
      <c r="G81" s="32" t="str">
        <f aca="false">IF($A81="","",COUNTIFS(Qualification_Log!$C$5:$C$304,$A81,Qualification_Log!$O$5:$O$304,"Critical",Qualification_Log!$B$5:$B$304,"&gt;="&amp;$B$3,Qualification_Log!$B$5:$B$304,"&lt;="&amp;$B$4))</f>
        <v/>
      </c>
      <c r="H81" s="33" t="str">
        <f aca="false">IF($A81="","",SUMIFS(Qualification_Log!$N$5:$N$304,Qualification_Log!$C$5:$C$304,$A81,Qualification_Log!$B$5:$B$304,"&gt;="&amp;$B$3,Qualification_Log!$B$5:$B$304,"&lt;="&amp;$B$4))</f>
        <v/>
      </c>
      <c r="I81" s="32" t="str">
        <f aca="false">IF($A81="","",COUNTIFS(Recognition_Log!$C$5:$C$304,$A81,Recognition_Log!$N$5:$N$304,"Approved",Recognition_Log!$O$5:$O$304,"&gt;="&amp;$B$3,Recognition_Log!$O$5:$O$304,"&lt;="&amp;$B$4))</f>
        <v/>
      </c>
      <c r="J81" s="32" t="str">
        <f aca="false">IF($A81="","",SUMIFS(Recognition_Log!$Q$5:$Q$304,Recognition_Log!$C$5:$C$304,$A81,Recognition_Log!$O$5:$O$304,"&gt;="&amp;$B$3,Recognition_Log!$O$5:$O$304,"&lt;="&amp;$B$4))</f>
        <v/>
      </c>
      <c r="K81" s="32" t="str">
        <f aca="false">IF($A81="","",SUMIFS(Corrective_Action_Log!$T$5:$T$304,Corrective_Action_Log!$C$5:$C$304,$A81,Corrective_Action_Log!$N$5:$N$304,"&gt;="&amp;$B$3,Corrective_Action_Log!$N$5:$N$304,"&lt;="&amp;$B$4))</f>
        <v/>
      </c>
      <c r="L81" s="32" t="str">
        <f aca="false">IF($A81="","",J81-K81)</f>
        <v/>
      </c>
      <c r="M81" s="34" t="str">
        <f aca="false">IF($A81="","",IF(OR(G81&gt;0,E81&gt;0),"Under Review",IF(L81&gt;=Reference_Data!$AL$7,"Exemplary",IF(L81&gt;=Reference_Data!$AL$8,"Commendable",IF(L81&gt;=Reference_Data!$AL$9,"Meets Standard","Needs Improvement")))))</f>
        <v/>
      </c>
      <c r="N81" s="34" t="str">
        <f aca="false">IF($A81="","",IF(OR(G81&gt;0,K81&gt;=Reference_Data!$AL$10),"Ineligible","Eligible"))</f>
        <v/>
      </c>
      <c r="O81" s="32" t="str">
        <f aca="false">IF($A81="","",RANK(L81,$L$7:$L$106))</f>
        <v/>
      </c>
    </row>
    <row r="82" customFormat="false" ht="15" hidden="false" customHeight="false" outlineLevel="0" collapsed="false">
      <c r="A82" s="31" t="str">
        <f aca="false">IF(Employee_Master!A80="","",Employee_Master!A80)</f>
        <v/>
      </c>
      <c r="B82" s="31" t="str">
        <f aca="false">IF($A82="","",Employee_Master!B80)</f>
        <v/>
      </c>
      <c r="C82" s="31" t="str">
        <f aca="false">IF($A82="","",Employee_Master!C80)</f>
        <v/>
      </c>
      <c r="D82" s="32" t="str">
        <f aca="false">IF($A82="","",COUNTIFS(Qualification_Log!$C$5:$C$304,$A82,Qualification_Log!$U$5:$U$304,"Active"))</f>
        <v/>
      </c>
      <c r="E82" s="32" t="str">
        <f aca="false">IF($A82="","",COUNTIFS(Qualification_Log!$C$5:$C$304,$A82,Qualification_Log!$Q$5:$Q$304,"Yes",Qualification_Log!$R$5:$R$304,"&gt;="&amp;$B$3,Qualification_Log!$R$5:$R$304,"&lt;="&amp;$B$4))</f>
        <v/>
      </c>
      <c r="F82" s="32" t="str">
        <f aca="false">IF($A82="","",COUNTIFS(Qualification_Log!$C$5:$C$304,$A82,Qualification_Log!$G$5:$G$304,"Quality Incident",Qualification_Log!$B$5:$B$304,"&gt;="&amp;$B$3,Qualification_Log!$B$5:$B$304,"&lt;="&amp;$B$4)+COUNTIFS(Qualification_Log!$C$5:$C$304,$A82,Qualification_Log!$G$5:$G$304,"Decertification",Qualification_Log!$O$5:$O$304,"&lt;&gt;",Qualification_Log!$B$5:$B$304,"&gt;="&amp;$B$3,Qualification_Log!$B$5:$B$304,"&lt;="&amp;$B$4))</f>
        <v/>
      </c>
      <c r="G82" s="32" t="str">
        <f aca="false">IF($A82="","",COUNTIFS(Qualification_Log!$C$5:$C$304,$A82,Qualification_Log!$O$5:$O$304,"Critical",Qualification_Log!$B$5:$B$304,"&gt;="&amp;$B$3,Qualification_Log!$B$5:$B$304,"&lt;="&amp;$B$4))</f>
        <v/>
      </c>
      <c r="H82" s="33" t="str">
        <f aca="false">IF($A82="","",SUMIFS(Qualification_Log!$N$5:$N$304,Qualification_Log!$C$5:$C$304,$A82,Qualification_Log!$B$5:$B$304,"&gt;="&amp;$B$3,Qualification_Log!$B$5:$B$304,"&lt;="&amp;$B$4))</f>
        <v/>
      </c>
      <c r="I82" s="32" t="str">
        <f aca="false">IF($A82="","",COUNTIFS(Recognition_Log!$C$5:$C$304,$A82,Recognition_Log!$N$5:$N$304,"Approved",Recognition_Log!$O$5:$O$304,"&gt;="&amp;$B$3,Recognition_Log!$O$5:$O$304,"&lt;="&amp;$B$4))</f>
        <v/>
      </c>
      <c r="J82" s="32" t="str">
        <f aca="false">IF($A82="","",SUMIFS(Recognition_Log!$Q$5:$Q$304,Recognition_Log!$C$5:$C$304,$A82,Recognition_Log!$O$5:$O$304,"&gt;="&amp;$B$3,Recognition_Log!$O$5:$O$304,"&lt;="&amp;$B$4))</f>
        <v/>
      </c>
      <c r="K82" s="32" t="str">
        <f aca="false">IF($A82="","",SUMIFS(Corrective_Action_Log!$T$5:$T$304,Corrective_Action_Log!$C$5:$C$304,$A82,Corrective_Action_Log!$N$5:$N$304,"&gt;="&amp;$B$3,Corrective_Action_Log!$N$5:$N$304,"&lt;="&amp;$B$4))</f>
        <v/>
      </c>
      <c r="L82" s="32" t="str">
        <f aca="false">IF($A82="","",J82-K82)</f>
        <v/>
      </c>
      <c r="M82" s="34" t="str">
        <f aca="false">IF($A82="","",IF(OR(G82&gt;0,E82&gt;0),"Under Review",IF(L82&gt;=Reference_Data!$AL$7,"Exemplary",IF(L82&gt;=Reference_Data!$AL$8,"Commendable",IF(L82&gt;=Reference_Data!$AL$9,"Meets Standard","Needs Improvement")))))</f>
        <v/>
      </c>
      <c r="N82" s="34" t="str">
        <f aca="false">IF($A82="","",IF(OR(G82&gt;0,K82&gt;=Reference_Data!$AL$10),"Ineligible","Eligible"))</f>
        <v/>
      </c>
      <c r="O82" s="32" t="str">
        <f aca="false">IF($A82="","",RANK(L82,$L$7:$L$106))</f>
        <v/>
      </c>
    </row>
    <row r="83" customFormat="false" ht="15" hidden="false" customHeight="false" outlineLevel="0" collapsed="false">
      <c r="A83" s="31" t="str">
        <f aca="false">IF(Employee_Master!A81="","",Employee_Master!A81)</f>
        <v/>
      </c>
      <c r="B83" s="31" t="str">
        <f aca="false">IF($A83="","",Employee_Master!B81)</f>
        <v/>
      </c>
      <c r="C83" s="31" t="str">
        <f aca="false">IF($A83="","",Employee_Master!C81)</f>
        <v/>
      </c>
      <c r="D83" s="32" t="str">
        <f aca="false">IF($A83="","",COUNTIFS(Qualification_Log!$C$5:$C$304,$A83,Qualification_Log!$U$5:$U$304,"Active"))</f>
        <v/>
      </c>
      <c r="E83" s="32" t="str">
        <f aca="false">IF($A83="","",COUNTIFS(Qualification_Log!$C$5:$C$304,$A83,Qualification_Log!$Q$5:$Q$304,"Yes",Qualification_Log!$R$5:$R$304,"&gt;="&amp;$B$3,Qualification_Log!$R$5:$R$304,"&lt;="&amp;$B$4))</f>
        <v/>
      </c>
      <c r="F83" s="32" t="str">
        <f aca="false">IF($A83="","",COUNTIFS(Qualification_Log!$C$5:$C$304,$A83,Qualification_Log!$G$5:$G$304,"Quality Incident",Qualification_Log!$B$5:$B$304,"&gt;="&amp;$B$3,Qualification_Log!$B$5:$B$304,"&lt;="&amp;$B$4)+COUNTIFS(Qualification_Log!$C$5:$C$304,$A83,Qualification_Log!$G$5:$G$304,"Decertification",Qualification_Log!$O$5:$O$304,"&lt;&gt;",Qualification_Log!$B$5:$B$304,"&gt;="&amp;$B$3,Qualification_Log!$B$5:$B$304,"&lt;="&amp;$B$4))</f>
        <v/>
      </c>
      <c r="G83" s="32" t="str">
        <f aca="false">IF($A83="","",COUNTIFS(Qualification_Log!$C$5:$C$304,$A83,Qualification_Log!$O$5:$O$304,"Critical",Qualification_Log!$B$5:$B$304,"&gt;="&amp;$B$3,Qualification_Log!$B$5:$B$304,"&lt;="&amp;$B$4))</f>
        <v/>
      </c>
      <c r="H83" s="33" t="str">
        <f aca="false">IF($A83="","",SUMIFS(Qualification_Log!$N$5:$N$304,Qualification_Log!$C$5:$C$304,$A83,Qualification_Log!$B$5:$B$304,"&gt;="&amp;$B$3,Qualification_Log!$B$5:$B$304,"&lt;="&amp;$B$4))</f>
        <v/>
      </c>
      <c r="I83" s="32" t="str">
        <f aca="false">IF($A83="","",COUNTIFS(Recognition_Log!$C$5:$C$304,$A83,Recognition_Log!$N$5:$N$304,"Approved",Recognition_Log!$O$5:$O$304,"&gt;="&amp;$B$3,Recognition_Log!$O$5:$O$304,"&lt;="&amp;$B$4))</f>
        <v/>
      </c>
      <c r="J83" s="32" t="str">
        <f aca="false">IF($A83="","",SUMIFS(Recognition_Log!$Q$5:$Q$304,Recognition_Log!$C$5:$C$304,$A83,Recognition_Log!$O$5:$O$304,"&gt;="&amp;$B$3,Recognition_Log!$O$5:$O$304,"&lt;="&amp;$B$4))</f>
        <v/>
      </c>
      <c r="K83" s="32" t="str">
        <f aca="false">IF($A83="","",SUMIFS(Corrective_Action_Log!$T$5:$T$304,Corrective_Action_Log!$C$5:$C$304,$A83,Corrective_Action_Log!$N$5:$N$304,"&gt;="&amp;$B$3,Corrective_Action_Log!$N$5:$N$304,"&lt;="&amp;$B$4))</f>
        <v/>
      </c>
      <c r="L83" s="32" t="str">
        <f aca="false">IF($A83="","",J83-K83)</f>
        <v/>
      </c>
      <c r="M83" s="34" t="str">
        <f aca="false">IF($A83="","",IF(OR(G83&gt;0,E83&gt;0),"Under Review",IF(L83&gt;=Reference_Data!$AL$7,"Exemplary",IF(L83&gt;=Reference_Data!$AL$8,"Commendable",IF(L83&gt;=Reference_Data!$AL$9,"Meets Standard","Needs Improvement")))))</f>
        <v/>
      </c>
      <c r="N83" s="34" t="str">
        <f aca="false">IF($A83="","",IF(OR(G83&gt;0,K83&gt;=Reference_Data!$AL$10),"Ineligible","Eligible"))</f>
        <v/>
      </c>
      <c r="O83" s="32" t="str">
        <f aca="false">IF($A83="","",RANK(L83,$L$7:$L$106))</f>
        <v/>
      </c>
    </row>
    <row r="84" customFormat="false" ht="15" hidden="false" customHeight="false" outlineLevel="0" collapsed="false">
      <c r="A84" s="31" t="str">
        <f aca="false">IF(Employee_Master!A82="","",Employee_Master!A82)</f>
        <v/>
      </c>
      <c r="B84" s="31" t="str">
        <f aca="false">IF($A84="","",Employee_Master!B82)</f>
        <v/>
      </c>
      <c r="C84" s="31" t="str">
        <f aca="false">IF($A84="","",Employee_Master!C82)</f>
        <v/>
      </c>
      <c r="D84" s="32" t="str">
        <f aca="false">IF($A84="","",COUNTIFS(Qualification_Log!$C$5:$C$304,$A84,Qualification_Log!$U$5:$U$304,"Active"))</f>
        <v/>
      </c>
      <c r="E84" s="32" t="str">
        <f aca="false">IF($A84="","",COUNTIFS(Qualification_Log!$C$5:$C$304,$A84,Qualification_Log!$Q$5:$Q$304,"Yes",Qualification_Log!$R$5:$R$304,"&gt;="&amp;$B$3,Qualification_Log!$R$5:$R$304,"&lt;="&amp;$B$4))</f>
        <v/>
      </c>
      <c r="F84" s="32" t="str">
        <f aca="false">IF($A84="","",COUNTIFS(Qualification_Log!$C$5:$C$304,$A84,Qualification_Log!$G$5:$G$304,"Quality Incident",Qualification_Log!$B$5:$B$304,"&gt;="&amp;$B$3,Qualification_Log!$B$5:$B$304,"&lt;="&amp;$B$4)+COUNTIFS(Qualification_Log!$C$5:$C$304,$A84,Qualification_Log!$G$5:$G$304,"Decertification",Qualification_Log!$O$5:$O$304,"&lt;&gt;",Qualification_Log!$B$5:$B$304,"&gt;="&amp;$B$3,Qualification_Log!$B$5:$B$304,"&lt;="&amp;$B$4))</f>
        <v/>
      </c>
      <c r="G84" s="32" t="str">
        <f aca="false">IF($A84="","",COUNTIFS(Qualification_Log!$C$5:$C$304,$A84,Qualification_Log!$O$5:$O$304,"Critical",Qualification_Log!$B$5:$B$304,"&gt;="&amp;$B$3,Qualification_Log!$B$5:$B$304,"&lt;="&amp;$B$4))</f>
        <v/>
      </c>
      <c r="H84" s="33" t="str">
        <f aca="false">IF($A84="","",SUMIFS(Qualification_Log!$N$5:$N$304,Qualification_Log!$C$5:$C$304,$A84,Qualification_Log!$B$5:$B$304,"&gt;="&amp;$B$3,Qualification_Log!$B$5:$B$304,"&lt;="&amp;$B$4))</f>
        <v/>
      </c>
      <c r="I84" s="32" t="str">
        <f aca="false">IF($A84="","",COUNTIFS(Recognition_Log!$C$5:$C$304,$A84,Recognition_Log!$N$5:$N$304,"Approved",Recognition_Log!$O$5:$O$304,"&gt;="&amp;$B$3,Recognition_Log!$O$5:$O$304,"&lt;="&amp;$B$4))</f>
        <v/>
      </c>
      <c r="J84" s="32" t="str">
        <f aca="false">IF($A84="","",SUMIFS(Recognition_Log!$Q$5:$Q$304,Recognition_Log!$C$5:$C$304,$A84,Recognition_Log!$O$5:$O$304,"&gt;="&amp;$B$3,Recognition_Log!$O$5:$O$304,"&lt;="&amp;$B$4))</f>
        <v/>
      </c>
      <c r="K84" s="32" t="str">
        <f aca="false">IF($A84="","",SUMIFS(Corrective_Action_Log!$T$5:$T$304,Corrective_Action_Log!$C$5:$C$304,$A84,Corrective_Action_Log!$N$5:$N$304,"&gt;="&amp;$B$3,Corrective_Action_Log!$N$5:$N$304,"&lt;="&amp;$B$4))</f>
        <v/>
      </c>
      <c r="L84" s="32" t="str">
        <f aca="false">IF($A84="","",J84-K84)</f>
        <v/>
      </c>
      <c r="M84" s="34" t="str">
        <f aca="false">IF($A84="","",IF(OR(G84&gt;0,E84&gt;0),"Under Review",IF(L84&gt;=Reference_Data!$AL$7,"Exemplary",IF(L84&gt;=Reference_Data!$AL$8,"Commendable",IF(L84&gt;=Reference_Data!$AL$9,"Meets Standard","Needs Improvement")))))</f>
        <v/>
      </c>
      <c r="N84" s="34" t="str">
        <f aca="false">IF($A84="","",IF(OR(G84&gt;0,K84&gt;=Reference_Data!$AL$10),"Ineligible","Eligible"))</f>
        <v/>
      </c>
      <c r="O84" s="32" t="str">
        <f aca="false">IF($A84="","",RANK(L84,$L$7:$L$106))</f>
        <v/>
      </c>
    </row>
    <row r="85" customFormat="false" ht="15" hidden="false" customHeight="false" outlineLevel="0" collapsed="false">
      <c r="A85" s="31" t="str">
        <f aca="false">IF(Employee_Master!A83="","",Employee_Master!A83)</f>
        <v/>
      </c>
      <c r="B85" s="31" t="str">
        <f aca="false">IF($A85="","",Employee_Master!B83)</f>
        <v/>
      </c>
      <c r="C85" s="31" t="str">
        <f aca="false">IF($A85="","",Employee_Master!C83)</f>
        <v/>
      </c>
      <c r="D85" s="32" t="str">
        <f aca="false">IF($A85="","",COUNTIFS(Qualification_Log!$C$5:$C$304,$A85,Qualification_Log!$U$5:$U$304,"Active"))</f>
        <v/>
      </c>
      <c r="E85" s="32" t="str">
        <f aca="false">IF($A85="","",COUNTIFS(Qualification_Log!$C$5:$C$304,$A85,Qualification_Log!$Q$5:$Q$304,"Yes",Qualification_Log!$R$5:$R$304,"&gt;="&amp;$B$3,Qualification_Log!$R$5:$R$304,"&lt;="&amp;$B$4))</f>
        <v/>
      </c>
      <c r="F85" s="32" t="str">
        <f aca="false">IF($A85="","",COUNTIFS(Qualification_Log!$C$5:$C$304,$A85,Qualification_Log!$G$5:$G$304,"Quality Incident",Qualification_Log!$B$5:$B$304,"&gt;="&amp;$B$3,Qualification_Log!$B$5:$B$304,"&lt;="&amp;$B$4)+COUNTIFS(Qualification_Log!$C$5:$C$304,$A85,Qualification_Log!$G$5:$G$304,"Decertification",Qualification_Log!$O$5:$O$304,"&lt;&gt;",Qualification_Log!$B$5:$B$304,"&gt;="&amp;$B$3,Qualification_Log!$B$5:$B$304,"&lt;="&amp;$B$4))</f>
        <v/>
      </c>
      <c r="G85" s="32" t="str">
        <f aca="false">IF($A85="","",COUNTIFS(Qualification_Log!$C$5:$C$304,$A85,Qualification_Log!$O$5:$O$304,"Critical",Qualification_Log!$B$5:$B$304,"&gt;="&amp;$B$3,Qualification_Log!$B$5:$B$304,"&lt;="&amp;$B$4))</f>
        <v/>
      </c>
      <c r="H85" s="33" t="str">
        <f aca="false">IF($A85="","",SUMIFS(Qualification_Log!$N$5:$N$304,Qualification_Log!$C$5:$C$304,$A85,Qualification_Log!$B$5:$B$304,"&gt;="&amp;$B$3,Qualification_Log!$B$5:$B$304,"&lt;="&amp;$B$4))</f>
        <v/>
      </c>
      <c r="I85" s="32" t="str">
        <f aca="false">IF($A85="","",COUNTIFS(Recognition_Log!$C$5:$C$304,$A85,Recognition_Log!$N$5:$N$304,"Approved",Recognition_Log!$O$5:$O$304,"&gt;="&amp;$B$3,Recognition_Log!$O$5:$O$304,"&lt;="&amp;$B$4))</f>
        <v/>
      </c>
      <c r="J85" s="32" t="str">
        <f aca="false">IF($A85="","",SUMIFS(Recognition_Log!$Q$5:$Q$304,Recognition_Log!$C$5:$C$304,$A85,Recognition_Log!$O$5:$O$304,"&gt;="&amp;$B$3,Recognition_Log!$O$5:$O$304,"&lt;="&amp;$B$4))</f>
        <v/>
      </c>
      <c r="K85" s="32" t="str">
        <f aca="false">IF($A85="","",SUMIFS(Corrective_Action_Log!$T$5:$T$304,Corrective_Action_Log!$C$5:$C$304,$A85,Corrective_Action_Log!$N$5:$N$304,"&gt;="&amp;$B$3,Corrective_Action_Log!$N$5:$N$304,"&lt;="&amp;$B$4))</f>
        <v/>
      </c>
      <c r="L85" s="32" t="str">
        <f aca="false">IF($A85="","",J85-K85)</f>
        <v/>
      </c>
      <c r="M85" s="34" t="str">
        <f aca="false">IF($A85="","",IF(OR(G85&gt;0,E85&gt;0),"Under Review",IF(L85&gt;=Reference_Data!$AL$7,"Exemplary",IF(L85&gt;=Reference_Data!$AL$8,"Commendable",IF(L85&gt;=Reference_Data!$AL$9,"Meets Standard","Needs Improvement")))))</f>
        <v/>
      </c>
      <c r="N85" s="34" t="str">
        <f aca="false">IF($A85="","",IF(OR(G85&gt;0,K85&gt;=Reference_Data!$AL$10),"Ineligible","Eligible"))</f>
        <v/>
      </c>
      <c r="O85" s="32" t="str">
        <f aca="false">IF($A85="","",RANK(L85,$L$7:$L$106))</f>
        <v/>
      </c>
    </row>
    <row r="86" customFormat="false" ht="15" hidden="false" customHeight="false" outlineLevel="0" collapsed="false">
      <c r="A86" s="31" t="str">
        <f aca="false">IF(Employee_Master!A84="","",Employee_Master!A84)</f>
        <v/>
      </c>
      <c r="B86" s="31" t="str">
        <f aca="false">IF($A86="","",Employee_Master!B84)</f>
        <v/>
      </c>
      <c r="C86" s="31" t="str">
        <f aca="false">IF($A86="","",Employee_Master!C84)</f>
        <v/>
      </c>
      <c r="D86" s="32" t="str">
        <f aca="false">IF($A86="","",COUNTIFS(Qualification_Log!$C$5:$C$304,$A86,Qualification_Log!$U$5:$U$304,"Active"))</f>
        <v/>
      </c>
      <c r="E86" s="32" t="str">
        <f aca="false">IF($A86="","",COUNTIFS(Qualification_Log!$C$5:$C$304,$A86,Qualification_Log!$Q$5:$Q$304,"Yes",Qualification_Log!$R$5:$R$304,"&gt;="&amp;$B$3,Qualification_Log!$R$5:$R$304,"&lt;="&amp;$B$4))</f>
        <v/>
      </c>
      <c r="F86" s="32" t="str">
        <f aca="false">IF($A86="","",COUNTIFS(Qualification_Log!$C$5:$C$304,$A86,Qualification_Log!$G$5:$G$304,"Quality Incident",Qualification_Log!$B$5:$B$304,"&gt;="&amp;$B$3,Qualification_Log!$B$5:$B$304,"&lt;="&amp;$B$4)+COUNTIFS(Qualification_Log!$C$5:$C$304,$A86,Qualification_Log!$G$5:$G$304,"Decertification",Qualification_Log!$O$5:$O$304,"&lt;&gt;",Qualification_Log!$B$5:$B$304,"&gt;="&amp;$B$3,Qualification_Log!$B$5:$B$304,"&lt;="&amp;$B$4))</f>
        <v/>
      </c>
      <c r="G86" s="32" t="str">
        <f aca="false">IF($A86="","",COUNTIFS(Qualification_Log!$C$5:$C$304,$A86,Qualification_Log!$O$5:$O$304,"Critical",Qualification_Log!$B$5:$B$304,"&gt;="&amp;$B$3,Qualification_Log!$B$5:$B$304,"&lt;="&amp;$B$4))</f>
        <v/>
      </c>
      <c r="H86" s="33" t="str">
        <f aca="false">IF($A86="","",SUMIFS(Qualification_Log!$N$5:$N$304,Qualification_Log!$C$5:$C$304,$A86,Qualification_Log!$B$5:$B$304,"&gt;="&amp;$B$3,Qualification_Log!$B$5:$B$304,"&lt;="&amp;$B$4))</f>
        <v/>
      </c>
      <c r="I86" s="32" t="str">
        <f aca="false">IF($A86="","",COUNTIFS(Recognition_Log!$C$5:$C$304,$A86,Recognition_Log!$N$5:$N$304,"Approved",Recognition_Log!$O$5:$O$304,"&gt;="&amp;$B$3,Recognition_Log!$O$5:$O$304,"&lt;="&amp;$B$4))</f>
        <v/>
      </c>
      <c r="J86" s="32" t="str">
        <f aca="false">IF($A86="","",SUMIFS(Recognition_Log!$Q$5:$Q$304,Recognition_Log!$C$5:$C$304,$A86,Recognition_Log!$O$5:$O$304,"&gt;="&amp;$B$3,Recognition_Log!$O$5:$O$304,"&lt;="&amp;$B$4))</f>
        <v/>
      </c>
      <c r="K86" s="32" t="str">
        <f aca="false">IF($A86="","",SUMIFS(Corrective_Action_Log!$T$5:$T$304,Corrective_Action_Log!$C$5:$C$304,$A86,Corrective_Action_Log!$N$5:$N$304,"&gt;="&amp;$B$3,Corrective_Action_Log!$N$5:$N$304,"&lt;="&amp;$B$4))</f>
        <v/>
      </c>
      <c r="L86" s="32" t="str">
        <f aca="false">IF($A86="","",J86-K86)</f>
        <v/>
      </c>
      <c r="M86" s="34" t="str">
        <f aca="false">IF($A86="","",IF(OR(G86&gt;0,E86&gt;0),"Under Review",IF(L86&gt;=Reference_Data!$AL$7,"Exemplary",IF(L86&gt;=Reference_Data!$AL$8,"Commendable",IF(L86&gt;=Reference_Data!$AL$9,"Meets Standard","Needs Improvement")))))</f>
        <v/>
      </c>
      <c r="N86" s="34" t="str">
        <f aca="false">IF($A86="","",IF(OR(G86&gt;0,K86&gt;=Reference_Data!$AL$10),"Ineligible","Eligible"))</f>
        <v/>
      </c>
      <c r="O86" s="32" t="str">
        <f aca="false">IF($A86="","",RANK(L86,$L$7:$L$106))</f>
        <v/>
      </c>
    </row>
    <row r="87" customFormat="false" ht="15" hidden="false" customHeight="false" outlineLevel="0" collapsed="false">
      <c r="A87" s="31" t="str">
        <f aca="false">IF(Employee_Master!A85="","",Employee_Master!A85)</f>
        <v/>
      </c>
      <c r="B87" s="31" t="str">
        <f aca="false">IF($A87="","",Employee_Master!B85)</f>
        <v/>
      </c>
      <c r="C87" s="31" t="str">
        <f aca="false">IF($A87="","",Employee_Master!C85)</f>
        <v/>
      </c>
      <c r="D87" s="32" t="str">
        <f aca="false">IF($A87="","",COUNTIFS(Qualification_Log!$C$5:$C$304,$A87,Qualification_Log!$U$5:$U$304,"Active"))</f>
        <v/>
      </c>
      <c r="E87" s="32" t="str">
        <f aca="false">IF($A87="","",COUNTIFS(Qualification_Log!$C$5:$C$304,$A87,Qualification_Log!$Q$5:$Q$304,"Yes",Qualification_Log!$R$5:$R$304,"&gt;="&amp;$B$3,Qualification_Log!$R$5:$R$304,"&lt;="&amp;$B$4))</f>
        <v/>
      </c>
      <c r="F87" s="32" t="str">
        <f aca="false">IF($A87="","",COUNTIFS(Qualification_Log!$C$5:$C$304,$A87,Qualification_Log!$G$5:$G$304,"Quality Incident",Qualification_Log!$B$5:$B$304,"&gt;="&amp;$B$3,Qualification_Log!$B$5:$B$304,"&lt;="&amp;$B$4)+COUNTIFS(Qualification_Log!$C$5:$C$304,$A87,Qualification_Log!$G$5:$G$304,"Decertification",Qualification_Log!$O$5:$O$304,"&lt;&gt;",Qualification_Log!$B$5:$B$304,"&gt;="&amp;$B$3,Qualification_Log!$B$5:$B$304,"&lt;="&amp;$B$4))</f>
        <v/>
      </c>
      <c r="G87" s="32" t="str">
        <f aca="false">IF($A87="","",COUNTIFS(Qualification_Log!$C$5:$C$304,$A87,Qualification_Log!$O$5:$O$304,"Critical",Qualification_Log!$B$5:$B$304,"&gt;="&amp;$B$3,Qualification_Log!$B$5:$B$304,"&lt;="&amp;$B$4))</f>
        <v/>
      </c>
      <c r="H87" s="33" t="str">
        <f aca="false">IF($A87="","",SUMIFS(Qualification_Log!$N$5:$N$304,Qualification_Log!$C$5:$C$304,$A87,Qualification_Log!$B$5:$B$304,"&gt;="&amp;$B$3,Qualification_Log!$B$5:$B$304,"&lt;="&amp;$B$4))</f>
        <v/>
      </c>
      <c r="I87" s="32" t="str">
        <f aca="false">IF($A87="","",COUNTIFS(Recognition_Log!$C$5:$C$304,$A87,Recognition_Log!$N$5:$N$304,"Approved",Recognition_Log!$O$5:$O$304,"&gt;="&amp;$B$3,Recognition_Log!$O$5:$O$304,"&lt;="&amp;$B$4))</f>
        <v/>
      </c>
      <c r="J87" s="32" t="str">
        <f aca="false">IF($A87="","",SUMIFS(Recognition_Log!$Q$5:$Q$304,Recognition_Log!$C$5:$C$304,$A87,Recognition_Log!$O$5:$O$304,"&gt;="&amp;$B$3,Recognition_Log!$O$5:$O$304,"&lt;="&amp;$B$4))</f>
        <v/>
      </c>
      <c r="K87" s="32" t="str">
        <f aca="false">IF($A87="","",SUMIFS(Corrective_Action_Log!$T$5:$T$304,Corrective_Action_Log!$C$5:$C$304,$A87,Corrective_Action_Log!$N$5:$N$304,"&gt;="&amp;$B$3,Corrective_Action_Log!$N$5:$N$304,"&lt;="&amp;$B$4))</f>
        <v/>
      </c>
      <c r="L87" s="32" t="str">
        <f aca="false">IF($A87="","",J87-K87)</f>
        <v/>
      </c>
      <c r="M87" s="34" t="str">
        <f aca="false">IF($A87="","",IF(OR(G87&gt;0,E87&gt;0),"Under Review",IF(L87&gt;=Reference_Data!$AL$7,"Exemplary",IF(L87&gt;=Reference_Data!$AL$8,"Commendable",IF(L87&gt;=Reference_Data!$AL$9,"Meets Standard","Needs Improvement")))))</f>
        <v/>
      </c>
      <c r="N87" s="34" t="str">
        <f aca="false">IF($A87="","",IF(OR(G87&gt;0,K87&gt;=Reference_Data!$AL$10),"Ineligible","Eligible"))</f>
        <v/>
      </c>
      <c r="O87" s="32" t="str">
        <f aca="false">IF($A87="","",RANK(L87,$L$7:$L$106))</f>
        <v/>
      </c>
    </row>
    <row r="88" customFormat="false" ht="15" hidden="false" customHeight="false" outlineLevel="0" collapsed="false">
      <c r="A88" s="31" t="str">
        <f aca="false">IF(Employee_Master!A86="","",Employee_Master!A86)</f>
        <v/>
      </c>
      <c r="B88" s="31" t="str">
        <f aca="false">IF($A88="","",Employee_Master!B86)</f>
        <v/>
      </c>
      <c r="C88" s="31" t="str">
        <f aca="false">IF($A88="","",Employee_Master!C86)</f>
        <v/>
      </c>
      <c r="D88" s="32" t="str">
        <f aca="false">IF($A88="","",COUNTIFS(Qualification_Log!$C$5:$C$304,$A88,Qualification_Log!$U$5:$U$304,"Active"))</f>
        <v/>
      </c>
      <c r="E88" s="32" t="str">
        <f aca="false">IF($A88="","",COUNTIFS(Qualification_Log!$C$5:$C$304,$A88,Qualification_Log!$Q$5:$Q$304,"Yes",Qualification_Log!$R$5:$R$304,"&gt;="&amp;$B$3,Qualification_Log!$R$5:$R$304,"&lt;="&amp;$B$4))</f>
        <v/>
      </c>
      <c r="F88" s="32" t="str">
        <f aca="false">IF($A88="","",COUNTIFS(Qualification_Log!$C$5:$C$304,$A88,Qualification_Log!$G$5:$G$304,"Quality Incident",Qualification_Log!$B$5:$B$304,"&gt;="&amp;$B$3,Qualification_Log!$B$5:$B$304,"&lt;="&amp;$B$4)+COUNTIFS(Qualification_Log!$C$5:$C$304,$A88,Qualification_Log!$G$5:$G$304,"Decertification",Qualification_Log!$O$5:$O$304,"&lt;&gt;",Qualification_Log!$B$5:$B$304,"&gt;="&amp;$B$3,Qualification_Log!$B$5:$B$304,"&lt;="&amp;$B$4))</f>
        <v/>
      </c>
      <c r="G88" s="32" t="str">
        <f aca="false">IF($A88="","",COUNTIFS(Qualification_Log!$C$5:$C$304,$A88,Qualification_Log!$O$5:$O$304,"Critical",Qualification_Log!$B$5:$B$304,"&gt;="&amp;$B$3,Qualification_Log!$B$5:$B$304,"&lt;="&amp;$B$4))</f>
        <v/>
      </c>
      <c r="H88" s="33" t="str">
        <f aca="false">IF($A88="","",SUMIFS(Qualification_Log!$N$5:$N$304,Qualification_Log!$C$5:$C$304,$A88,Qualification_Log!$B$5:$B$304,"&gt;="&amp;$B$3,Qualification_Log!$B$5:$B$304,"&lt;="&amp;$B$4))</f>
        <v/>
      </c>
      <c r="I88" s="32" t="str">
        <f aca="false">IF($A88="","",COUNTIFS(Recognition_Log!$C$5:$C$304,$A88,Recognition_Log!$N$5:$N$304,"Approved",Recognition_Log!$O$5:$O$304,"&gt;="&amp;$B$3,Recognition_Log!$O$5:$O$304,"&lt;="&amp;$B$4))</f>
        <v/>
      </c>
      <c r="J88" s="32" t="str">
        <f aca="false">IF($A88="","",SUMIFS(Recognition_Log!$Q$5:$Q$304,Recognition_Log!$C$5:$C$304,$A88,Recognition_Log!$O$5:$O$304,"&gt;="&amp;$B$3,Recognition_Log!$O$5:$O$304,"&lt;="&amp;$B$4))</f>
        <v/>
      </c>
      <c r="K88" s="32" t="str">
        <f aca="false">IF($A88="","",SUMIFS(Corrective_Action_Log!$T$5:$T$304,Corrective_Action_Log!$C$5:$C$304,$A88,Corrective_Action_Log!$N$5:$N$304,"&gt;="&amp;$B$3,Corrective_Action_Log!$N$5:$N$304,"&lt;="&amp;$B$4))</f>
        <v/>
      </c>
      <c r="L88" s="32" t="str">
        <f aca="false">IF($A88="","",J88-K88)</f>
        <v/>
      </c>
      <c r="M88" s="34" t="str">
        <f aca="false">IF($A88="","",IF(OR(G88&gt;0,E88&gt;0),"Under Review",IF(L88&gt;=Reference_Data!$AL$7,"Exemplary",IF(L88&gt;=Reference_Data!$AL$8,"Commendable",IF(L88&gt;=Reference_Data!$AL$9,"Meets Standard","Needs Improvement")))))</f>
        <v/>
      </c>
      <c r="N88" s="34" t="str">
        <f aca="false">IF($A88="","",IF(OR(G88&gt;0,K88&gt;=Reference_Data!$AL$10),"Ineligible","Eligible"))</f>
        <v/>
      </c>
      <c r="O88" s="32" t="str">
        <f aca="false">IF($A88="","",RANK(L88,$L$7:$L$106))</f>
        <v/>
      </c>
    </row>
    <row r="89" customFormat="false" ht="15" hidden="false" customHeight="false" outlineLevel="0" collapsed="false">
      <c r="A89" s="31" t="str">
        <f aca="false">IF(Employee_Master!A87="","",Employee_Master!A87)</f>
        <v/>
      </c>
      <c r="B89" s="31" t="str">
        <f aca="false">IF($A89="","",Employee_Master!B87)</f>
        <v/>
      </c>
      <c r="C89" s="31" t="str">
        <f aca="false">IF($A89="","",Employee_Master!C87)</f>
        <v/>
      </c>
      <c r="D89" s="32" t="str">
        <f aca="false">IF($A89="","",COUNTIFS(Qualification_Log!$C$5:$C$304,$A89,Qualification_Log!$U$5:$U$304,"Active"))</f>
        <v/>
      </c>
      <c r="E89" s="32" t="str">
        <f aca="false">IF($A89="","",COUNTIFS(Qualification_Log!$C$5:$C$304,$A89,Qualification_Log!$Q$5:$Q$304,"Yes",Qualification_Log!$R$5:$R$304,"&gt;="&amp;$B$3,Qualification_Log!$R$5:$R$304,"&lt;="&amp;$B$4))</f>
        <v/>
      </c>
      <c r="F89" s="32" t="str">
        <f aca="false">IF($A89="","",COUNTIFS(Qualification_Log!$C$5:$C$304,$A89,Qualification_Log!$G$5:$G$304,"Quality Incident",Qualification_Log!$B$5:$B$304,"&gt;="&amp;$B$3,Qualification_Log!$B$5:$B$304,"&lt;="&amp;$B$4)+COUNTIFS(Qualification_Log!$C$5:$C$304,$A89,Qualification_Log!$G$5:$G$304,"Decertification",Qualification_Log!$O$5:$O$304,"&lt;&gt;",Qualification_Log!$B$5:$B$304,"&gt;="&amp;$B$3,Qualification_Log!$B$5:$B$304,"&lt;="&amp;$B$4))</f>
        <v/>
      </c>
      <c r="G89" s="32" t="str">
        <f aca="false">IF($A89="","",COUNTIFS(Qualification_Log!$C$5:$C$304,$A89,Qualification_Log!$O$5:$O$304,"Critical",Qualification_Log!$B$5:$B$304,"&gt;="&amp;$B$3,Qualification_Log!$B$5:$B$304,"&lt;="&amp;$B$4))</f>
        <v/>
      </c>
      <c r="H89" s="33" t="str">
        <f aca="false">IF($A89="","",SUMIFS(Qualification_Log!$N$5:$N$304,Qualification_Log!$C$5:$C$304,$A89,Qualification_Log!$B$5:$B$304,"&gt;="&amp;$B$3,Qualification_Log!$B$5:$B$304,"&lt;="&amp;$B$4))</f>
        <v/>
      </c>
      <c r="I89" s="32" t="str">
        <f aca="false">IF($A89="","",COUNTIFS(Recognition_Log!$C$5:$C$304,$A89,Recognition_Log!$N$5:$N$304,"Approved",Recognition_Log!$O$5:$O$304,"&gt;="&amp;$B$3,Recognition_Log!$O$5:$O$304,"&lt;="&amp;$B$4))</f>
        <v/>
      </c>
      <c r="J89" s="32" t="str">
        <f aca="false">IF($A89="","",SUMIFS(Recognition_Log!$Q$5:$Q$304,Recognition_Log!$C$5:$C$304,$A89,Recognition_Log!$O$5:$O$304,"&gt;="&amp;$B$3,Recognition_Log!$O$5:$O$304,"&lt;="&amp;$B$4))</f>
        <v/>
      </c>
      <c r="K89" s="32" t="str">
        <f aca="false">IF($A89="","",SUMIFS(Corrective_Action_Log!$T$5:$T$304,Corrective_Action_Log!$C$5:$C$304,$A89,Corrective_Action_Log!$N$5:$N$304,"&gt;="&amp;$B$3,Corrective_Action_Log!$N$5:$N$304,"&lt;="&amp;$B$4))</f>
        <v/>
      </c>
      <c r="L89" s="32" t="str">
        <f aca="false">IF($A89="","",J89-K89)</f>
        <v/>
      </c>
      <c r="M89" s="34" t="str">
        <f aca="false">IF($A89="","",IF(OR(G89&gt;0,E89&gt;0),"Under Review",IF(L89&gt;=Reference_Data!$AL$7,"Exemplary",IF(L89&gt;=Reference_Data!$AL$8,"Commendable",IF(L89&gt;=Reference_Data!$AL$9,"Meets Standard","Needs Improvement")))))</f>
        <v/>
      </c>
      <c r="N89" s="34" t="str">
        <f aca="false">IF($A89="","",IF(OR(G89&gt;0,K89&gt;=Reference_Data!$AL$10),"Ineligible","Eligible"))</f>
        <v/>
      </c>
      <c r="O89" s="32" t="str">
        <f aca="false">IF($A89="","",RANK(L89,$L$7:$L$106))</f>
        <v/>
      </c>
    </row>
    <row r="90" customFormat="false" ht="15" hidden="false" customHeight="false" outlineLevel="0" collapsed="false">
      <c r="A90" s="31" t="str">
        <f aca="false">IF(Employee_Master!A88="","",Employee_Master!A88)</f>
        <v/>
      </c>
      <c r="B90" s="31" t="str">
        <f aca="false">IF($A90="","",Employee_Master!B88)</f>
        <v/>
      </c>
      <c r="C90" s="31" t="str">
        <f aca="false">IF($A90="","",Employee_Master!C88)</f>
        <v/>
      </c>
      <c r="D90" s="32" t="str">
        <f aca="false">IF($A90="","",COUNTIFS(Qualification_Log!$C$5:$C$304,$A90,Qualification_Log!$U$5:$U$304,"Active"))</f>
        <v/>
      </c>
      <c r="E90" s="32" t="str">
        <f aca="false">IF($A90="","",COUNTIFS(Qualification_Log!$C$5:$C$304,$A90,Qualification_Log!$Q$5:$Q$304,"Yes",Qualification_Log!$R$5:$R$304,"&gt;="&amp;$B$3,Qualification_Log!$R$5:$R$304,"&lt;="&amp;$B$4))</f>
        <v/>
      </c>
      <c r="F90" s="32" t="str">
        <f aca="false">IF($A90="","",COUNTIFS(Qualification_Log!$C$5:$C$304,$A90,Qualification_Log!$G$5:$G$304,"Quality Incident",Qualification_Log!$B$5:$B$304,"&gt;="&amp;$B$3,Qualification_Log!$B$5:$B$304,"&lt;="&amp;$B$4)+COUNTIFS(Qualification_Log!$C$5:$C$304,$A90,Qualification_Log!$G$5:$G$304,"Decertification",Qualification_Log!$O$5:$O$304,"&lt;&gt;",Qualification_Log!$B$5:$B$304,"&gt;="&amp;$B$3,Qualification_Log!$B$5:$B$304,"&lt;="&amp;$B$4))</f>
        <v/>
      </c>
      <c r="G90" s="32" t="str">
        <f aca="false">IF($A90="","",COUNTIFS(Qualification_Log!$C$5:$C$304,$A90,Qualification_Log!$O$5:$O$304,"Critical",Qualification_Log!$B$5:$B$304,"&gt;="&amp;$B$3,Qualification_Log!$B$5:$B$304,"&lt;="&amp;$B$4))</f>
        <v/>
      </c>
      <c r="H90" s="33" t="str">
        <f aca="false">IF($A90="","",SUMIFS(Qualification_Log!$N$5:$N$304,Qualification_Log!$C$5:$C$304,$A90,Qualification_Log!$B$5:$B$304,"&gt;="&amp;$B$3,Qualification_Log!$B$5:$B$304,"&lt;="&amp;$B$4))</f>
        <v/>
      </c>
      <c r="I90" s="32" t="str">
        <f aca="false">IF($A90="","",COUNTIFS(Recognition_Log!$C$5:$C$304,$A90,Recognition_Log!$N$5:$N$304,"Approved",Recognition_Log!$O$5:$O$304,"&gt;="&amp;$B$3,Recognition_Log!$O$5:$O$304,"&lt;="&amp;$B$4))</f>
        <v/>
      </c>
      <c r="J90" s="32" t="str">
        <f aca="false">IF($A90="","",SUMIFS(Recognition_Log!$Q$5:$Q$304,Recognition_Log!$C$5:$C$304,$A90,Recognition_Log!$O$5:$O$304,"&gt;="&amp;$B$3,Recognition_Log!$O$5:$O$304,"&lt;="&amp;$B$4))</f>
        <v/>
      </c>
      <c r="K90" s="32" t="str">
        <f aca="false">IF($A90="","",SUMIFS(Corrective_Action_Log!$T$5:$T$304,Corrective_Action_Log!$C$5:$C$304,$A90,Corrective_Action_Log!$N$5:$N$304,"&gt;="&amp;$B$3,Corrective_Action_Log!$N$5:$N$304,"&lt;="&amp;$B$4))</f>
        <v/>
      </c>
      <c r="L90" s="32" t="str">
        <f aca="false">IF($A90="","",J90-K90)</f>
        <v/>
      </c>
      <c r="M90" s="34" t="str">
        <f aca="false">IF($A90="","",IF(OR(G90&gt;0,E90&gt;0),"Under Review",IF(L90&gt;=Reference_Data!$AL$7,"Exemplary",IF(L90&gt;=Reference_Data!$AL$8,"Commendable",IF(L90&gt;=Reference_Data!$AL$9,"Meets Standard","Needs Improvement")))))</f>
        <v/>
      </c>
      <c r="N90" s="34" t="str">
        <f aca="false">IF($A90="","",IF(OR(G90&gt;0,K90&gt;=Reference_Data!$AL$10),"Ineligible","Eligible"))</f>
        <v/>
      </c>
      <c r="O90" s="32" t="str">
        <f aca="false">IF($A90="","",RANK(L90,$L$7:$L$106))</f>
        <v/>
      </c>
    </row>
    <row r="91" customFormat="false" ht="15" hidden="false" customHeight="false" outlineLevel="0" collapsed="false">
      <c r="A91" s="31" t="str">
        <f aca="false">IF(Employee_Master!A89="","",Employee_Master!A89)</f>
        <v/>
      </c>
      <c r="B91" s="31" t="str">
        <f aca="false">IF($A91="","",Employee_Master!B89)</f>
        <v/>
      </c>
      <c r="C91" s="31" t="str">
        <f aca="false">IF($A91="","",Employee_Master!C89)</f>
        <v/>
      </c>
      <c r="D91" s="32" t="str">
        <f aca="false">IF($A91="","",COUNTIFS(Qualification_Log!$C$5:$C$304,$A91,Qualification_Log!$U$5:$U$304,"Active"))</f>
        <v/>
      </c>
      <c r="E91" s="32" t="str">
        <f aca="false">IF($A91="","",COUNTIFS(Qualification_Log!$C$5:$C$304,$A91,Qualification_Log!$Q$5:$Q$304,"Yes",Qualification_Log!$R$5:$R$304,"&gt;="&amp;$B$3,Qualification_Log!$R$5:$R$304,"&lt;="&amp;$B$4))</f>
        <v/>
      </c>
      <c r="F91" s="32" t="str">
        <f aca="false">IF($A91="","",COUNTIFS(Qualification_Log!$C$5:$C$304,$A91,Qualification_Log!$G$5:$G$304,"Quality Incident",Qualification_Log!$B$5:$B$304,"&gt;="&amp;$B$3,Qualification_Log!$B$5:$B$304,"&lt;="&amp;$B$4)+COUNTIFS(Qualification_Log!$C$5:$C$304,$A91,Qualification_Log!$G$5:$G$304,"Decertification",Qualification_Log!$O$5:$O$304,"&lt;&gt;",Qualification_Log!$B$5:$B$304,"&gt;="&amp;$B$3,Qualification_Log!$B$5:$B$304,"&lt;="&amp;$B$4))</f>
        <v/>
      </c>
      <c r="G91" s="32" t="str">
        <f aca="false">IF($A91="","",COUNTIFS(Qualification_Log!$C$5:$C$304,$A91,Qualification_Log!$O$5:$O$304,"Critical",Qualification_Log!$B$5:$B$304,"&gt;="&amp;$B$3,Qualification_Log!$B$5:$B$304,"&lt;="&amp;$B$4))</f>
        <v/>
      </c>
      <c r="H91" s="33" t="str">
        <f aca="false">IF($A91="","",SUMIFS(Qualification_Log!$N$5:$N$304,Qualification_Log!$C$5:$C$304,$A91,Qualification_Log!$B$5:$B$304,"&gt;="&amp;$B$3,Qualification_Log!$B$5:$B$304,"&lt;="&amp;$B$4))</f>
        <v/>
      </c>
      <c r="I91" s="32" t="str">
        <f aca="false">IF($A91="","",COUNTIFS(Recognition_Log!$C$5:$C$304,$A91,Recognition_Log!$N$5:$N$304,"Approved",Recognition_Log!$O$5:$O$304,"&gt;="&amp;$B$3,Recognition_Log!$O$5:$O$304,"&lt;="&amp;$B$4))</f>
        <v/>
      </c>
      <c r="J91" s="32" t="str">
        <f aca="false">IF($A91="","",SUMIFS(Recognition_Log!$Q$5:$Q$304,Recognition_Log!$C$5:$C$304,$A91,Recognition_Log!$O$5:$O$304,"&gt;="&amp;$B$3,Recognition_Log!$O$5:$O$304,"&lt;="&amp;$B$4))</f>
        <v/>
      </c>
      <c r="K91" s="32" t="str">
        <f aca="false">IF($A91="","",SUMIFS(Corrective_Action_Log!$T$5:$T$304,Corrective_Action_Log!$C$5:$C$304,$A91,Corrective_Action_Log!$N$5:$N$304,"&gt;="&amp;$B$3,Corrective_Action_Log!$N$5:$N$304,"&lt;="&amp;$B$4))</f>
        <v/>
      </c>
      <c r="L91" s="32" t="str">
        <f aca="false">IF($A91="","",J91-K91)</f>
        <v/>
      </c>
      <c r="M91" s="34" t="str">
        <f aca="false">IF($A91="","",IF(OR(G91&gt;0,E91&gt;0),"Under Review",IF(L91&gt;=Reference_Data!$AL$7,"Exemplary",IF(L91&gt;=Reference_Data!$AL$8,"Commendable",IF(L91&gt;=Reference_Data!$AL$9,"Meets Standard","Needs Improvement")))))</f>
        <v/>
      </c>
      <c r="N91" s="34" t="str">
        <f aca="false">IF($A91="","",IF(OR(G91&gt;0,K91&gt;=Reference_Data!$AL$10),"Ineligible","Eligible"))</f>
        <v/>
      </c>
      <c r="O91" s="32" t="str">
        <f aca="false">IF($A91="","",RANK(L91,$L$7:$L$106))</f>
        <v/>
      </c>
    </row>
    <row r="92" customFormat="false" ht="15" hidden="false" customHeight="false" outlineLevel="0" collapsed="false">
      <c r="A92" s="31" t="str">
        <f aca="false">IF(Employee_Master!A90="","",Employee_Master!A90)</f>
        <v/>
      </c>
      <c r="B92" s="31" t="str">
        <f aca="false">IF($A92="","",Employee_Master!B90)</f>
        <v/>
      </c>
      <c r="C92" s="31" t="str">
        <f aca="false">IF($A92="","",Employee_Master!C90)</f>
        <v/>
      </c>
      <c r="D92" s="32" t="str">
        <f aca="false">IF($A92="","",COUNTIFS(Qualification_Log!$C$5:$C$304,$A92,Qualification_Log!$U$5:$U$304,"Active"))</f>
        <v/>
      </c>
      <c r="E92" s="32" t="str">
        <f aca="false">IF($A92="","",COUNTIFS(Qualification_Log!$C$5:$C$304,$A92,Qualification_Log!$Q$5:$Q$304,"Yes",Qualification_Log!$R$5:$R$304,"&gt;="&amp;$B$3,Qualification_Log!$R$5:$R$304,"&lt;="&amp;$B$4))</f>
        <v/>
      </c>
      <c r="F92" s="32" t="str">
        <f aca="false">IF($A92="","",COUNTIFS(Qualification_Log!$C$5:$C$304,$A92,Qualification_Log!$G$5:$G$304,"Quality Incident",Qualification_Log!$B$5:$B$304,"&gt;="&amp;$B$3,Qualification_Log!$B$5:$B$304,"&lt;="&amp;$B$4)+COUNTIFS(Qualification_Log!$C$5:$C$304,$A92,Qualification_Log!$G$5:$G$304,"Decertification",Qualification_Log!$O$5:$O$304,"&lt;&gt;",Qualification_Log!$B$5:$B$304,"&gt;="&amp;$B$3,Qualification_Log!$B$5:$B$304,"&lt;="&amp;$B$4))</f>
        <v/>
      </c>
      <c r="G92" s="32" t="str">
        <f aca="false">IF($A92="","",COUNTIFS(Qualification_Log!$C$5:$C$304,$A92,Qualification_Log!$O$5:$O$304,"Critical",Qualification_Log!$B$5:$B$304,"&gt;="&amp;$B$3,Qualification_Log!$B$5:$B$304,"&lt;="&amp;$B$4))</f>
        <v/>
      </c>
      <c r="H92" s="33" t="str">
        <f aca="false">IF($A92="","",SUMIFS(Qualification_Log!$N$5:$N$304,Qualification_Log!$C$5:$C$304,$A92,Qualification_Log!$B$5:$B$304,"&gt;="&amp;$B$3,Qualification_Log!$B$5:$B$304,"&lt;="&amp;$B$4))</f>
        <v/>
      </c>
      <c r="I92" s="32" t="str">
        <f aca="false">IF($A92="","",COUNTIFS(Recognition_Log!$C$5:$C$304,$A92,Recognition_Log!$N$5:$N$304,"Approved",Recognition_Log!$O$5:$O$304,"&gt;="&amp;$B$3,Recognition_Log!$O$5:$O$304,"&lt;="&amp;$B$4))</f>
        <v/>
      </c>
      <c r="J92" s="32" t="str">
        <f aca="false">IF($A92="","",SUMIFS(Recognition_Log!$Q$5:$Q$304,Recognition_Log!$C$5:$C$304,$A92,Recognition_Log!$O$5:$O$304,"&gt;="&amp;$B$3,Recognition_Log!$O$5:$O$304,"&lt;="&amp;$B$4))</f>
        <v/>
      </c>
      <c r="K92" s="32" t="str">
        <f aca="false">IF($A92="","",SUMIFS(Corrective_Action_Log!$T$5:$T$304,Corrective_Action_Log!$C$5:$C$304,$A92,Corrective_Action_Log!$N$5:$N$304,"&gt;="&amp;$B$3,Corrective_Action_Log!$N$5:$N$304,"&lt;="&amp;$B$4))</f>
        <v/>
      </c>
      <c r="L92" s="32" t="str">
        <f aca="false">IF($A92="","",J92-K92)</f>
        <v/>
      </c>
      <c r="M92" s="34" t="str">
        <f aca="false">IF($A92="","",IF(OR(G92&gt;0,E92&gt;0),"Under Review",IF(L92&gt;=Reference_Data!$AL$7,"Exemplary",IF(L92&gt;=Reference_Data!$AL$8,"Commendable",IF(L92&gt;=Reference_Data!$AL$9,"Meets Standard","Needs Improvement")))))</f>
        <v/>
      </c>
      <c r="N92" s="34" t="str">
        <f aca="false">IF($A92="","",IF(OR(G92&gt;0,K92&gt;=Reference_Data!$AL$10),"Ineligible","Eligible"))</f>
        <v/>
      </c>
      <c r="O92" s="32" t="str">
        <f aca="false">IF($A92="","",RANK(L92,$L$7:$L$106))</f>
        <v/>
      </c>
    </row>
    <row r="93" customFormat="false" ht="15" hidden="false" customHeight="false" outlineLevel="0" collapsed="false">
      <c r="A93" s="31" t="str">
        <f aca="false">IF(Employee_Master!A91="","",Employee_Master!A91)</f>
        <v/>
      </c>
      <c r="B93" s="31" t="str">
        <f aca="false">IF($A93="","",Employee_Master!B91)</f>
        <v/>
      </c>
      <c r="C93" s="31" t="str">
        <f aca="false">IF($A93="","",Employee_Master!C91)</f>
        <v/>
      </c>
      <c r="D93" s="32" t="str">
        <f aca="false">IF($A93="","",COUNTIFS(Qualification_Log!$C$5:$C$304,$A93,Qualification_Log!$U$5:$U$304,"Active"))</f>
        <v/>
      </c>
      <c r="E93" s="32" t="str">
        <f aca="false">IF($A93="","",COUNTIFS(Qualification_Log!$C$5:$C$304,$A93,Qualification_Log!$Q$5:$Q$304,"Yes",Qualification_Log!$R$5:$R$304,"&gt;="&amp;$B$3,Qualification_Log!$R$5:$R$304,"&lt;="&amp;$B$4))</f>
        <v/>
      </c>
      <c r="F93" s="32" t="str">
        <f aca="false">IF($A93="","",COUNTIFS(Qualification_Log!$C$5:$C$304,$A93,Qualification_Log!$G$5:$G$304,"Quality Incident",Qualification_Log!$B$5:$B$304,"&gt;="&amp;$B$3,Qualification_Log!$B$5:$B$304,"&lt;="&amp;$B$4)+COUNTIFS(Qualification_Log!$C$5:$C$304,$A93,Qualification_Log!$G$5:$G$304,"Decertification",Qualification_Log!$O$5:$O$304,"&lt;&gt;",Qualification_Log!$B$5:$B$304,"&gt;="&amp;$B$3,Qualification_Log!$B$5:$B$304,"&lt;="&amp;$B$4))</f>
        <v/>
      </c>
      <c r="G93" s="32" t="str">
        <f aca="false">IF($A93="","",COUNTIFS(Qualification_Log!$C$5:$C$304,$A93,Qualification_Log!$O$5:$O$304,"Critical",Qualification_Log!$B$5:$B$304,"&gt;="&amp;$B$3,Qualification_Log!$B$5:$B$304,"&lt;="&amp;$B$4))</f>
        <v/>
      </c>
      <c r="H93" s="33" t="str">
        <f aca="false">IF($A93="","",SUMIFS(Qualification_Log!$N$5:$N$304,Qualification_Log!$C$5:$C$304,$A93,Qualification_Log!$B$5:$B$304,"&gt;="&amp;$B$3,Qualification_Log!$B$5:$B$304,"&lt;="&amp;$B$4))</f>
        <v/>
      </c>
      <c r="I93" s="32" t="str">
        <f aca="false">IF($A93="","",COUNTIFS(Recognition_Log!$C$5:$C$304,$A93,Recognition_Log!$N$5:$N$304,"Approved",Recognition_Log!$O$5:$O$304,"&gt;="&amp;$B$3,Recognition_Log!$O$5:$O$304,"&lt;="&amp;$B$4))</f>
        <v/>
      </c>
      <c r="J93" s="32" t="str">
        <f aca="false">IF($A93="","",SUMIFS(Recognition_Log!$Q$5:$Q$304,Recognition_Log!$C$5:$C$304,$A93,Recognition_Log!$O$5:$O$304,"&gt;="&amp;$B$3,Recognition_Log!$O$5:$O$304,"&lt;="&amp;$B$4))</f>
        <v/>
      </c>
      <c r="K93" s="32" t="str">
        <f aca="false">IF($A93="","",SUMIFS(Corrective_Action_Log!$T$5:$T$304,Corrective_Action_Log!$C$5:$C$304,$A93,Corrective_Action_Log!$N$5:$N$304,"&gt;="&amp;$B$3,Corrective_Action_Log!$N$5:$N$304,"&lt;="&amp;$B$4))</f>
        <v/>
      </c>
      <c r="L93" s="32" t="str">
        <f aca="false">IF($A93="","",J93-K93)</f>
        <v/>
      </c>
      <c r="M93" s="34" t="str">
        <f aca="false">IF($A93="","",IF(OR(G93&gt;0,E93&gt;0),"Under Review",IF(L93&gt;=Reference_Data!$AL$7,"Exemplary",IF(L93&gt;=Reference_Data!$AL$8,"Commendable",IF(L93&gt;=Reference_Data!$AL$9,"Meets Standard","Needs Improvement")))))</f>
        <v/>
      </c>
      <c r="N93" s="34" t="str">
        <f aca="false">IF($A93="","",IF(OR(G93&gt;0,K93&gt;=Reference_Data!$AL$10),"Ineligible","Eligible"))</f>
        <v/>
      </c>
      <c r="O93" s="32" t="str">
        <f aca="false">IF($A93="","",RANK(L93,$L$7:$L$106))</f>
        <v/>
      </c>
    </row>
    <row r="94" customFormat="false" ht="15" hidden="false" customHeight="false" outlineLevel="0" collapsed="false">
      <c r="A94" s="31" t="str">
        <f aca="false">IF(Employee_Master!A92="","",Employee_Master!A92)</f>
        <v/>
      </c>
      <c r="B94" s="31" t="str">
        <f aca="false">IF($A94="","",Employee_Master!B92)</f>
        <v/>
      </c>
      <c r="C94" s="31" t="str">
        <f aca="false">IF($A94="","",Employee_Master!C92)</f>
        <v/>
      </c>
      <c r="D94" s="32" t="str">
        <f aca="false">IF($A94="","",COUNTIFS(Qualification_Log!$C$5:$C$304,$A94,Qualification_Log!$U$5:$U$304,"Active"))</f>
        <v/>
      </c>
      <c r="E94" s="32" t="str">
        <f aca="false">IF($A94="","",COUNTIFS(Qualification_Log!$C$5:$C$304,$A94,Qualification_Log!$Q$5:$Q$304,"Yes",Qualification_Log!$R$5:$R$304,"&gt;="&amp;$B$3,Qualification_Log!$R$5:$R$304,"&lt;="&amp;$B$4))</f>
        <v/>
      </c>
      <c r="F94" s="32" t="str">
        <f aca="false">IF($A94="","",COUNTIFS(Qualification_Log!$C$5:$C$304,$A94,Qualification_Log!$G$5:$G$304,"Quality Incident",Qualification_Log!$B$5:$B$304,"&gt;="&amp;$B$3,Qualification_Log!$B$5:$B$304,"&lt;="&amp;$B$4)+COUNTIFS(Qualification_Log!$C$5:$C$304,$A94,Qualification_Log!$G$5:$G$304,"Decertification",Qualification_Log!$O$5:$O$304,"&lt;&gt;",Qualification_Log!$B$5:$B$304,"&gt;="&amp;$B$3,Qualification_Log!$B$5:$B$304,"&lt;="&amp;$B$4))</f>
        <v/>
      </c>
      <c r="G94" s="32" t="str">
        <f aca="false">IF($A94="","",COUNTIFS(Qualification_Log!$C$5:$C$304,$A94,Qualification_Log!$O$5:$O$304,"Critical",Qualification_Log!$B$5:$B$304,"&gt;="&amp;$B$3,Qualification_Log!$B$5:$B$304,"&lt;="&amp;$B$4))</f>
        <v/>
      </c>
      <c r="H94" s="33" t="str">
        <f aca="false">IF($A94="","",SUMIFS(Qualification_Log!$N$5:$N$304,Qualification_Log!$C$5:$C$304,$A94,Qualification_Log!$B$5:$B$304,"&gt;="&amp;$B$3,Qualification_Log!$B$5:$B$304,"&lt;="&amp;$B$4))</f>
        <v/>
      </c>
      <c r="I94" s="32" t="str">
        <f aca="false">IF($A94="","",COUNTIFS(Recognition_Log!$C$5:$C$304,$A94,Recognition_Log!$N$5:$N$304,"Approved",Recognition_Log!$O$5:$O$304,"&gt;="&amp;$B$3,Recognition_Log!$O$5:$O$304,"&lt;="&amp;$B$4))</f>
        <v/>
      </c>
      <c r="J94" s="32" t="str">
        <f aca="false">IF($A94="","",SUMIFS(Recognition_Log!$Q$5:$Q$304,Recognition_Log!$C$5:$C$304,$A94,Recognition_Log!$O$5:$O$304,"&gt;="&amp;$B$3,Recognition_Log!$O$5:$O$304,"&lt;="&amp;$B$4))</f>
        <v/>
      </c>
      <c r="K94" s="32" t="str">
        <f aca="false">IF($A94="","",SUMIFS(Corrective_Action_Log!$T$5:$T$304,Corrective_Action_Log!$C$5:$C$304,$A94,Corrective_Action_Log!$N$5:$N$304,"&gt;="&amp;$B$3,Corrective_Action_Log!$N$5:$N$304,"&lt;="&amp;$B$4))</f>
        <v/>
      </c>
      <c r="L94" s="32" t="str">
        <f aca="false">IF($A94="","",J94-K94)</f>
        <v/>
      </c>
      <c r="M94" s="34" t="str">
        <f aca="false">IF($A94="","",IF(OR(G94&gt;0,E94&gt;0),"Under Review",IF(L94&gt;=Reference_Data!$AL$7,"Exemplary",IF(L94&gt;=Reference_Data!$AL$8,"Commendable",IF(L94&gt;=Reference_Data!$AL$9,"Meets Standard","Needs Improvement")))))</f>
        <v/>
      </c>
      <c r="N94" s="34" t="str">
        <f aca="false">IF($A94="","",IF(OR(G94&gt;0,K94&gt;=Reference_Data!$AL$10),"Ineligible","Eligible"))</f>
        <v/>
      </c>
      <c r="O94" s="32" t="str">
        <f aca="false">IF($A94="","",RANK(L94,$L$7:$L$106))</f>
        <v/>
      </c>
    </row>
    <row r="95" customFormat="false" ht="15" hidden="false" customHeight="false" outlineLevel="0" collapsed="false">
      <c r="A95" s="31" t="str">
        <f aca="false">IF(Employee_Master!A93="","",Employee_Master!A93)</f>
        <v/>
      </c>
      <c r="B95" s="31" t="str">
        <f aca="false">IF($A95="","",Employee_Master!B93)</f>
        <v/>
      </c>
      <c r="C95" s="31" t="str">
        <f aca="false">IF($A95="","",Employee_Master!C93)</f>
        <v/>
      </c>
      <c r="D95" s="32" t="str">
        <f aca="false">IF($A95="","",COUNTIFS(Qualification_Log!$C$5:$C$304,$A95,Qualification_Log!$U$5:$U$304,"Active"))</f>
        <v/>
      </c>
      <c r="E95" s="32" t="str">
        <f aca="false">IF($A95="","",COUNTIFS(Qualification_Log!$C$5:$C$304,$A95,Qualification_Log!$Q$5:$Q$304,"Yes",Qualification_Log!$R$5:$R$304,"&gt;="&amp;$B$3,Qualification_Log!$R$5:$R$304,"&lt;="&amp;$B$4))</f>
        <v/>
      </c>
      <c r="F95" s="32" t="str">
        <f aca="false">IF($A95="","",COUNTIFS(Qualification_Log!$C$5:$C$304,$A95,Qualification_Log!$G$5:$G$304,"Quality Incident",Qualification_Log!$B$5:$B$304,"&gt;="&amp;$B$3,Qualification_Log!$B$5:$B$304,"&lt;="&amp;$B$4)+COUNTIFS(Qualification_Log!$C$5:$C$304,$A95,Qualification_Log!$G$5:$G$304,"Decertification",Qualification_Log!$O$5:$O$304,"&lt;&gt;",Qualification_Log!$B$5:$B$304,"&gt;="&amp;$B$3,Qualification_Log!$B$5:$B$304,"&lt;="&amp;$B$4))</f>
        <v/>
      </c>
      <c r="G95" s="32" t="str">
        <f aca="false">IF($A95="","",COUNTIFS(Qualification_Log!$C$5:$C$304,$A95,Qualification_Log!$O$5:$O$304,"Critical",Qualification_Log!$B$5:$B$304,"&gt;="&amp;$B$3,Qualification_Log!$B$5:$B$304,"&lt;="&amp;$B$4))</f>
        <v/>
      </c>
      <c r="H95" s="33" t="str">
        <f aca="false">IF($A95="","",SUMIFS(Qualification_Log!$N$5:$N$304,Qualification_Log!$C$5:$C$304,$A95,Qualification_Log!$B$5:$B$304,"&gt;="&amp;$B$3,Qualification_Log!$B$5:$B$304,"&lt;="&amp;$B$4))</f>
        <v/>
      </c>
      <c r="I95" s="32" t="str">
        <f aca="false">IF($A95="","",COUNTIFS(Recognition_Log!$C$5:$C$304,$A95,Recognition_Log!$N$5:$N$304,"Approved",Recognition_Log!$O$5:$O$304,"&gt;="&amp;$B$3,Recognition_Log!$O$5:$O$304,"&lt;="&amp;$B$4))</f>
        <v/>
      </c>
      <c r="J95" s="32" t="str">
        <f aca="false">IF($A95="","",SUMIFS(Recognition_Log!$Q$5:$Q$304,Recognition_Log!$C$5:$C$304,$A95,Recognition_Log!$O$5:$O$304,"&gt;="&amp;$B$3,Recognition_Log!$O$5:$O$304,"&lt;="&amp;$B$4))</f>
        <v/>
      </c>
      <c r="K95" s="32" t="str">
        <f aca="false">IF($A95="","",SUMIFS(Corrective_Action_Log!$T$5:$T$304,Corrective_Action_Log!$C$5:$C$304,$A95,Corrective_Action_Log!$N$5:$N$304,"&gt;="&amp;$B$3,Corrective_Action_Log!$N$5:$N$304,"&lt;="&amp;$B$4))</f>
        <v/>
      </c>
      <c r="L95" s="32" t="str">
        <f aca="false">IF($A95="","",J95-K95)</f>
        <v/>
      </c>
      <c r="M95" s="34" t="str">
        <f aca="false">IF($A95="","",IF(OR(G95&gt;0,E95&gt;0),"Under Review",IF(L95&gt;=Reference_Data!$AL$7,"Exemplary",IF(L95&gt;=Reference_Data!$AL$8,"Commendable",IF(L95&gt;=Reference_Data!$AL$9,"Meets Standard","Needs Improvement")))))</f>
        <v/>
      </c>
      <c r="N95" s="34" t="str">
        <f aca="false">IF($A95="","",IF(OR(G95&gt;0,K95&gt;=Reference_Data!$AL$10),"Ineligible","Eligible"))</f>
        <v/>
      </c>
      <c r="O95" s="32" t="str">
        <f aca="false">IF($A95="","",RANK(L95,$L$7:$L$106))</f>
        <v/>
      </c>
    </row>
    <row r="96" customFormat="false" ht="15" hidden="false" customHeight="false" outlineLevel="0" collapsed="false">
      <c r="A96" s="31" t="str">
        <f aca="false">IF(Employee_Master!A94="","",Employee_Master!A94)</f>
        <v/>
      </c>
      <c r="B96" s="31" t="str">
        <f aca="false">IF($A96="","",Employee_Master!B94)</f>
        <v/>
      </c>
      <c r="C96" s="31" t="str">
        <f aca="false">IF($A96="","",Employee_Master!C94)</f>
        <v/>
      </c>
      <c r="D96" s="32" t="str">
        <f aca="false">IF($A96="","",COUNTIFS(Qualification_Log!$C$5:$C$304,$A96,Qualification_Log!$U$5:$U$304,"Active"))</f>
        <v/>
      </c>
      <c r="E96" s="32" t="str">
        <f aca="false">IF($A96="","",COUNTIFS(Qualification_Log!$C$5:$C$304,$A96,Qualification_Log!$Q$5:$Q$304,"Yes",Qualification_Log!$R$5:$R$304,"&gt;="&amp;$B$3,Qualification_Log!$R$5:$R$304,"&lt;="&amp;$B$4))</f>
        <v/>
      </c>
      <c r="F96" s="32" t="str">
        <f aca="false">IF($A96="","",COUNTIFS(Qualification_Log!$C$5:$C$304,$A96,Qualification_Log!$G$5:$G$304,"Quality Incident",Qualification_Log!$B$5:$B$304,"&gt;="&amp;$B$3,Qualification_Log!$B$5:$B$304,"&lt;="&amp;$B$4)+COUNTIFS(Qualification_Log!$C$5:$C$304,$A96,Qualification_Log!$G$5:$G$304,"Decertification",Qualification_Log!$O$5:$O$304,"&lt;&gt;",Qualification_Log!$B$5:$B$304,"&gt;="&amp;$B$3,Qualification_Log!$B$5:$B$304,"&lt;="&amp;$B$4))</f>
        <v/>
      </c>
      <c r="G96" s="32" t="str">
        <f aca="false">IF($A96="","",COUNTIFS(Qualification_Log!$C$5:$C$304,$A96,Qualification_Log!$O$5:$O$304,"Critical",Qualification_Log!$B$5:$B$304,"&gt;="&amp;$B$3,Qualification_Log!$B$5:$B$304,"&lt;="&amp;$B$4))</f>
        <v/>
      </c>
      <c r="H96" s="33" t="str">
        <f aca="false">IF($A96="","",SUMIFS(Qualification_Log!$N$5:$N$304,Qualification_Log!$C$5:$C$304,$A96,Qualification_Log!$B$5:$B$304,"&gt;="&amp;$B$3,Qualification_Log!$B$5:$B$304,"&lt;="&amp;$B$4))</f>
        <v/>
      </c>
      <c r="I96" s="32" t="str">
        <f aca="false">IF($A96="","",COUNTIFS(Recognition_Log!$C$5:$C$304,$A96,Recognition_Log!$N$5:$N$304,"Approved",Recognition_Log!$O$5:$O$304,"&gt;="&amp;$B$3,Recognition_Log!$O$5:$O$304,"&lt;="&amp;$B$4))</f>
        <v/>
      </c>
      <c r="J96" s="32" t="str">
        <f aca="false">IF($A96="","",SUMIFS(Recognition_Log!$Q$5:$Q$304,Recognition_Log!$C$5:$C$304,$A96,Recognition_Log!$O$5:$O$304,"&gt;="&amp;$B$3,Recognition_Log!$O$5:$O$304,"&lt;="&amp;$B$4))</f>
        <v/>
      </c>
      <c r="K96" s="32" t="str">
        <f aca="false">IF($A96="","",SUMIFS(Corrective_Action_Log!$T$5:$T$304,Corrective_Action_Log!$C$5:$C$304,$A96,Corrective_Action_Log!$N$5:$N$304,"&gt;="&amp;$B$3,Corrective_Action_Log!$N$5:$N$304,"&lt;="&amp;$B$4))</f>
        <v/>
      </c>
      <c r="L96" s="32" t="str">
        <f aca="false">IF($A96="","",J96-K96)</f>
        <v/>
      </c>
      <c r="M96" s="34" t="str">
        <f aca="false">IF($A96="","",IF(OR(G96&gt;0,E96&gt;0),"Under Review",IF(L96&gt;=Reference_Data!$AL$7,"Exemplary",IF(L96&gt;=Reference_Data!$AL$8,"Commendable",IF(L96&gt;=Reference_Data!$AL$9,"Meets Standard","Needs Improvement")))))</f>
        <v/>
      </c>
      <c r="N96" s="34" t="str">
        <f aca="false">IF($A96="","",IF(OR(G96&gt;0,K96&gt;=Reference_Data!$AL$10),"Ineligible","Eligible"))</f>
        <v/>
      </c>
      <c r="O96" s="32" t="str">
        <f aca="false">IF($A96="","",RANK(L96,$L$7:$L$106))</f>
        <v/>
      </c>
    </row>
    <row r="97" customFormat="false" ht="15" hidden="false" customHeight="false" outlineLevel="0" collapsed="false">
      <c r="A97" s="31" t="str">
        <f aca="false">IF(Employee_Master!A95="","",Employee_Master!A95)</f>
        <v/>
      </c>
      <c r="B97" s="31" t="str">
        <f aca="false">IF($A97="","",Employee_Master!B95)</f>
        <v/>
      </c>
      <c r="C97" s="31" t="str">
        <f aca="false">IF($A97="","",Employee_Master!C95)</f>
        <v/>
      </c>
      <c r="D97" s="32" t="str">
        <f aca="false">IF($A97="","",COUNTIFS(Qualification_Log!$C$5:$C$304,$A97,Qualification_Log!$U$5:$U$304,"Active"))</f>
        <v/>
      </c>
      <c r="E97" s="32" t="str">
        <f aca="false">IF($A97="","",COUNTIFS(Qualification_Log!$C$5:$C$304,$A97,Qualification_Log!$Q$5:$Q$304,"Yes",Qualification_Log!$R$5:$R$304,"&gt;="&amp;$B$3,Qualification_Log!$R$5:$R$304,"&lt;="&amp;$B$4))</f>
        <v/>
      </c>
      <c r="F97" s="32" t="str">
        <f aca="false">IF($A97="","",COUNTIFS(Qualification_Log!$C$5:$C$304,$A97,Qualification_Log!$G$5:$G$304,"Quality Incident",Qualification_Log!$B$5:$B$304,"&gt;="&amp;$B$3,Qualification_Log!$B$5:$B$304,"&lt;="&amp;$B$4)+COUNTIFS(Qualification_Log!$C$5:$C$304,$A97,Qualification_Log!$G$5:$G$304,"Decertification",Qualification_Log!$O$5:$O$304,"&lt;&gt;",Qualification_Log!$B$5:$B$304,"&gt;="&amp;$B$3,Qualification_Log!$B$5:$B$304,"&lt;="&amp;$B$4))</f>
        <v/>
      </c>
      <c r="G97" s="32" t="str">
        <f aca="false">IF($A97="","",COUNTIFS(Qualification_Log!$C$5:$C$304,$A97,Qualification_Log!$O$5:$O$304,"Critical",Qualification_Log!$B$5:$B$304,"&gt;="&amp;$B$3,Qualification_Log!$B$5:$B$304,"&lt;="&amp;$B$4))</f>
        <v/>
      </c>
      <c r="H97" s="33" t="str">
        <f aca="false">IF($A97="","",SUMIFS(Qualification_Log!$N$5:$N$304,Qualification_Log!$C$5:$C$304,$A97,Qualification_Log!$B$5:$B$304,"&gt;="&amp;$B$3,Qualification_Log!$B$5:$B$304,"&lt;="&amp;$B$4))</f>
        <v/>
      </c>
      <c r="I97" s="32" t="str">
        <f aca="false">IF($A97="","",COUNTIFS(Recognition_Log!$C$5:$C$304,$A97,Recognition_Log!$N$5:$N$304,"Approved",Recognition_Log!$O$5:$O$304,"&gt;="&amp;$B$3,Recognition_Log!$O$5:$O$304,"&lt;="&amp;$B$4))</f>
        <v/>
      </c>
      <c r="J97" s="32" t="str">
        <f aca="false">IF($A97="","",SUMIFS(Recognition_Log!$Q$5:$Q$304,Recognition_Log!$C$5:$C$304,$A97,Recognition_Log!$O$5:$O$304,"&gt;="&amp;$B$3,Recognition_Log!$O$5:$O$304,"&lt;="&amp;$B$4))</f>
        <v/>
      </c>
      <c r="K97" s="32" t="str">
        <f aca="false">IF($A97="","",SUMIFS(Corrective_Action_Log!$T$5:$T$304,Corrective_Action_Log!$C$5:$C$304,$A97,Corrective_Action_Log!$N$5:$N$304,"&gt;="&amp;$B$3,Corrective_Action_Log!$N$5:$N$304,"&lt;="&amp;$B$4))</f>
        <v/>
      </c>
      <c r="L97" s="32" t="str">
        <f aca="false">IF($A97="","",J97-K97)</f>
        <v/>
      </c>
      <c r="M97" s="34" t="str">
        <f aca="false">IF($A97="","",IF(OR(G97&gt;0,E97&gt;0),"Under Review",IF(L97&gt;=Reference_Data!$AL$7,"Exemplary",IF(L97&gt;=Reference_Data!$AL$8,"Commendable",IF(L97&gt;=Reference_Data!$AL$9,"Meets Standard","Needs Improvement")))))</f>
        <v/>
      </c>
      <c r="N97" s="34" t="str">
        <f aca="false">IF($A97="","",IF(OR(G97&gt;0,K97&gt;=Reference_Data!$AL$10),"Ineligible","Eligible"))</f>
        <v/>
      </c>
      <c r="O97" s="32" t="str">
        <f aca="false">IF($A97="","",RANK(L97,$L$7:$L$106))</f>
        <v/>
      </c>
    </row>
    <row r="98" customFormat="false" ht="15" hidden="false" customHeight="false" outlineLevel="0" collapsed="false">
      <c r="A98" s="31" t="str">
        <f aca="false">IF(Employee_Master!A96="","",Employee_Master!A96)</f>
        <v/>
      </c>
      <c r="B98" s="31" t="str">
        <f aca="false">IF($A98="","",Employee_Master!B96)</f>
        <v/>
      </c>
      <c r="C98" s="31" t="str">
        <f aca="false">IF($A98="","",Employee_Master!C96)</f>
        <v/>
      </c>
      <c r="D98" s="32" t="str">
        <f aca="false">IF($A98="","",COUNTIFS(Qualification_Log!$C$5:$C$304,$A98,Qualification_Log!$U$5:$U$304,"Active"))</f>
        <v/>
      </c>
      <c r="E98" s="32" t="str">
        <f aca="false">IF($A98="","",COUNTIFS(Qualification_Log!$C$5:$C$304,$A98,Qualification_Log!$Q$5:$Q$304,"Yes",Qualification_Log!$R$5:$R$304,"&gt;="&amp;$B$3,Qualification_Log!$R$5:$R$304,"&lt;="&amp;$B$4))</f>
        <v/>
      </c>
      <c r="F98" s="32" t="str">
        <f aca="false">IF($A98="","",COUNTIFS(Qualification_Log!$C$5:$C$304,$A98,Qualification_Log!$G$5:$G$304,"Quality Incident",Qualification_Log!$B$5:$B$304,"&gt;="&amp;$B$3,Qualification_Log!$B$5:$B$304,"&lt;="&amp;$B$4)+COUNTIFS(Qualification_Log!$C$5:$C$304,$A98,Qualification_Log!$G$5:$G$304,"Decertification",Qualification_Log!$O$5:$O$304,"&lt;&gt;",Qualification_Log!$B$5:$B$304,"&gt;="&amp;$B$3,Qualification_Log!$B$5:$B$304,"&lt;="&amp;$B$4))</f>
        <v/>
      </c>
      <c r="G98" s="32" t="str">
        <f aca="false">IF($A98="","",COUNTIFS(Qualification_Log!$C$5:$C$304,$A98,Qualification_Log!$O$5:$O$304,"Critical",Qualification_Log!$B$5:$B$304,"&gt;="&amp;$B$3,Qualification_Log!$B$5:$B$304,"&lt;="&amp;$B$4))</f>
        <v/>
      </c>
      <c r="H98" s="33" t="str">
        <f aca="false">IF($A98="","",SUMIFS(Qualification_Log!$N$5:$N$304,Qualification_Log!$C$5:$C$304,$A98,Qualification_Log!$B$5:$B$304,"&gt;="&amp;$B$3,Qualification_Log!$B$5:$B$304,"&lt;="&amp;$B$4))</f>
        <v/>
      </c>
      <c r="I98" s="32" t="str">
        <f aca="false">IF($A98="","",COUNTIFS(Recognition_Log!$C$5:$C$304,$A98,Recognition_Log!$N$5:$N$304,"Approved",Recognition_Log!$O$5:$O$304,"&gt;="&amp;$B$3,Recognition_Log!$O$5:$O$304,"&lt;="&amp;$B$4))</f>
        <v/>
      </c>
      <c r="J98" s="32" t="str">
        <f aca="false">IF($A98="","",SUMIFS(Recognition_Log!$Q$5:$Q$304,Recognition_Log!$C$5:$C$304,$A98,Recognition_Log!$O$5:$O$304,"&gt;="&amp;$B$3,Recognition_Log!$O$5:$O$304,"&lt;="&amp;$B$4))</f>
        <v/>
      </c>
      <c r="K98" s="32" t="str">
        <f aca="false">IF($A98="","",SUMIFS(Corrective_Action_Log!$T$5:$T$304,Corrective_Action_Log!$C$5:$C$304,$A98,Corrective_Action_Log!$N$5:$N$304,"&gt;="&amp;$B$3,Corrective_Action_Log!$N$5:$N$304,"&lt;="&amp;$B$4))</f>
        <v/>
      </c>
      <c r="L98" s="32" t="str">
        <f aca="false">IF($A98="","",J98-K98)</f>
        <v/>
      </c>
      <c r="M98" s="34" t="str">
        <f aca="false">IF($A98="","",IF(OR(G98&gt;0,E98&gt;0),"Under Review",IF(L98&gt;=Reference_Data!$AL$7,"Exemplary",IF(L98&gt;=Reference_Data!$AL$8,"Commendable",IF(L98&gt;=Reference_Data!$AL$9,"Meets Standard","Needs Improvement")))))</f>
        <v/>
      </c>
      <c r="N98" s="34" t="str">
        <f aca="false">IF($A98="","",IF(OR(G98&gt;0,K98&gt;=Reference_Data!$AL$10),"Ineligible","Eligible"))</f>
        <v/>
      </c>
      <c r="O98" s="32" t="str">
        <f aca="false">IF($A98="","",RANK(L98,$L$7:$L$106))</f>
        <v/>
      </c>
    </row>
    <row r="99" customFormat="false" ht="15" hidden="false" customHeight="false" outlineLevel="0" collapsed="false">
      <c r="A99" s="31" t="str">
        <f aca="false">IF(Employee_Master!A97="","",Employee_Master!A97)</f>
        <v/>
      </c>
      <c r="B99" s="31" t="str">
        <f aca="false">IF($A99="","",Employee_Master!B97)</f>
        <v/>
      </c>
      <c r="C99" s="31" t="str">
        <f aca="false">IF($A99="","",Employee_Master!C97)</f>
        <v/>
      </c>
      <c r="D99" s="32" t="str">
        <f aca="false">IF($A99="","",COUNTIFS(Qualification_Log!$C$5:$C$304,$A99,Qualification_Log!$U$5:$U$304,"Active"))</f>
        <v/>
      </c>
      <c r="E99" s="32" t="str">
        <f aca="false">IF($A99="","",COUNTIFS(Qualification_Log!$C$5:$C$304,$A99,Qualification_Log!$Q$5:$Q$304,"Yes",Qualification_Log!$R$5:$R$304,"&gt;="&amp;$B$3,Qualification_Log!$R$5:$R$304,"&lt;="&amp;$B$4))</f>
        <v/>
      </c>
      <c r="F99" s="32" t="str">
        <f aca="false">IF($A99="","",COUNTIFS(Qualification_Log!$C$5:$C$304,$A99,Qualification_Log!$G$5:$G$304,"Quality Incident",Qualification_Log!$B$5:$B$304,"&gt;="&amp;$B$3,Qualification_Log!$B$5:$B$304,"&lt;="&amp;$B$4)+COUNTIFS(Qualification_Log!$C$5:$C$304,$A99,Qualification_Log!$G$5:$G$304,"Decertification",Qualification_Log!$O$5:$O$304,"&lt;&gt;",Qualification_Log!$B$5:$B$304,"&gt;="&amp;$B$3,Qualification_Log!$B$5:$B$304,"&lt;="&amp;$B$4))</f>
        <v/>
      </c>
      <c r="G99" s="32" t="str">
        <f aca="false">IF($A99="","",COUNTIFS(Qualification_Log!$C$5:$C$304,$A99,Qualification_Log!$O$5:$O$304,"Critical",Qualification_Log!$B$5:$B$304,"&gt;="&amp;$B$3,Qualification_Log!$B$5:$B$304,"&lt;="&amp;$B$4))</f>
        <v/>
      </c>
      <c r="H99" s="33" t="str">
        <f aca="false">IF($A99="","",SUMIFS(Qualification_Log!$N$5:$N$304,Qualification_Log!$C$5:$C$304,$A99,Qualification_Log!$B$5:$B$304,"&gt;="&amp;$B$3,Qualification_Log!$B$5:$B$304,"&lt;="&amp;$B$4))</f>
        <v/>
      </c>
      <c r="I99" s="32" t="str">
        <f aca="false">IF($A99="","",COUNTIFS(Recognition_Log!$C$5:$C$304,$A99,Recognition_Log!$N$5:$N$304,"Approved",Recognition_Log!$O$5:$O$304,"&gt;="&amp;$B$3,Recognition_Log!$O$5:$O$304,"&lt;="&amp;$B$4))</f>
        <v/>
      </c>
      <c r="J99" s="32" t="str">
        <f aca="false">IF($A99="","",SUMIFS(Recognition_Log!$Q$5:$Q$304,Recognition_Log!$C$5:$C$304,$A99,Recognition_Log!$O$5:$O$304,"&gt;="&amp;$B$3,Recognition_Log!$O$5:$O$304,"&lt;="&amp;$B$4))</f>
        <v/>
      </c>
      <c r="K99" s="32" t="str">
        <f aca="false">IF($A99="","",SUMIFS(Corrective_Action_Log!$T$5:$T$304,Corrective_Action_Log!$C$5:$C$304,$A99,Corrective_Action_Log!$N$5:$N$304,"&gt;="&amp;$B$3,Corrective_Action_Log!$N$5:$N$304,"&lt;="&amp;$B$4))</f>
        <v/>
      </c>
      <c r="L99" s="32" t="str">
        <f aca="false">IF($A99="","",J99-K99)</f>
        <v/>
      </c>
      <c r="M99" s="34" t="str">
        <f aca="false">IF($A99="","",IF(OR(G99&gt;0,E99&gt;0),"Under Review",IF(L99&gt;=Reference_Data!$AL$7,"Exemplary",IF(L99&gt;=Reference_Data!$AL$8,"Commendable",IF(L99&gt;=Reference_Data!$AL$9,"Meets Standard","Needs Improvement")))))</f>
        <v/>
      </c>
      <c r="N99" s="34" t="str">
        <f aca="false">IF($A99="","",IF(OR(G99&gt;0,K99&gt;=Reference_Data!$AL$10),"Ineligible","Eligible"))</f>
        <v/>
      </c>
      <c r="O99" s="32" t="str">
        <f aca="false">IF($A99="","",RANK(L99,$L$7:$L$106))</f>
        <v/>
      </c>
    </row>
    <row r="100" customFormat="false" ht="15" hidden="false" customHeight="false" outlineLevel="0" collapsed="false">
      <c r="A100" s="31" t="str">
        <f aca="false">IF(Employee_Master!A98="","",Employee_Master!A98)</f>
        <v/>
      </c>
      <c r="B100" s="31" t="str">
        <f aca="false">IF($A100="","",Employee_Master!B98)</f>
        <v/>
      </c>
      <c r="C100" s="31" t="str">
        <f aca="false">IF($A100="","",Employee_Master!C98)</f>
        <v/>
      </c>
      <c r="D100" s="32" t="str">
        <f aca="false">IF($A100="","",COUNTIFS(Qualification_Log!$C$5:$C$304,$A100,Qualification_Log!$U$5:$U$304,"Active"))</f>
        <v/>
      </c>
      <c r="E100" s="32" t="str">
        <f aca="false">IF($A100="","",COUNTIFS(Qualification_Log!$C$5:$C$304,$A100,Qualification_Log!$Q$5:$Q$304,"Yes",Qualification_Log!$R$5:$R$304,"&gt;="&amp;$B$3,Qualification_Log!$R$5:$R$304,"&lt;="&amp;$B$4))</f>
        <v/>
      </c>
      <c r="F100" s="32" t="str">
        <f aca="false">IF($A100="","",COUNTIFS(Qualification_Log!$C$5:$C$304,$A100,Qualification_Log!$G$5:$G$304,"Quality Incident",Qualification_Log!$B$5:$B$304,"&gt;="&amp;$B$3,Qualification_Log!$B$5:$B$304,"&lt;="&amp;$B$4)+COUNTIFS(Qualification_Log!$C$5:$C$304,$A100,Qualification_Log!$G$5:$G$304,"Decertification",Qualification_Log!$O$5:$O$304,"&lt;&gt;",Qualification_Log!$B$5:$B$304,"&gt;="&amp;$B$3,Qualification_Log!$B$5:$B$304,"&lt;="&amp;$B$4))</f>
        <v/>
      </c>
      <c r="G100" s="32" t="str">
        <f aca="false">IF($A100="","",COUNTIFS(Qualification_Log!$C$5:$C$304,$A100,Qualification_Log!$O$5:$O$304,"Critical",Qualification_Log!$B$5:$B$304,"&gt;="&amp;$B$3,Qualification_Log!$B$5:$B$304,"&lt;="&amp;$B$4))</f>
        <v/>
      </c>
      <c r="H100" s="33" t="str">
        <f aca="false">IF($A100="","",SUMIFS(Qualification_Log!$N$5:$N$304,Qualification_Log!$C$5:$C$304,$A100,Qualification_Log!$B$5:$B$304,"&gt;="&amp;$B$3,Qualification_Log!$B$5:$B$304,"&lt;="&amp;$B$4))</f>
        <v/>
      </c>
      <c r="I100" s="32" t="str">
        <f aca="false">IF($A100="","",COUNTIFS(Recognition_Log!$C$5:$C$304,$A100,Recognition_Log!$N$5:$N$304,"Approved",Recognition_Log!$O$5:$O$304,"&gt;="&amp;$B$3,Recognition_Log!$O$5:$O$304,"&lt;="&amp;$B$4))</f>
        <v/>
      </c>
      <c r="J100" s="32" t="str">
        <f aca="false">IF($A100="","",SUMIFS(Recognition_Log!$Q$5:$Q$304,Recognition_Log!$C$5:$C$304,$A100,Recognition_Log!$O$5:$O$304,"&gt;="&amp;$B$3,Recognition_Log!$O$5:$O$304,"&lt;="&amp;$B$4))</f>
        <v/>
      </c>
      <c r="K100" s="32" t="str">
        <f aca="false">IF($A100="","",SUMIFS(Corrective_Action_Log!$T$5:$T$304,Corrective_Action_Log!$C$5:$C$304,$A100,Corrective_Action_Log!$N$5:$N$304,"&gt;="&amp;$B$3,Corrective_Action_Log!$N$5:$N$304,"&lt;="&amp;$B$4))</f>
        <v/>
      </c>
      <c r="L100" s="32" t="str">
        <f aca="false">IF($A100="","",J100-K100)</f>
        <v/>
      </c>
      <c r="M100" s="34" t="str">
        <f aca="false">IF($A100="","",IF(OR(G100&gt;0,E100&gt;0),"Under Review",IF(L100&gt;=Reference_Data!$AL$7,"Exemplary",IF(L100&gt;=Reference_Data!$AL$8,"Commendable",IF(L100&gt;=Reference_Data!$AL$9,"Meets Standard","Needs Improvement")))))</f>
        <v/>
      </c>
      <c r="N100" s="34" t="str">
        <f aca="false">IF($A100="","",IF(OR(G100&gt;0,K100&gt;=Reference_Data!$AL$10),"Ineligible","Eligible"))</f>
        <v/>
      </c>
      <c r="O100" s="32" t="str">
        <f aca="false">IF($A100="","",RANK(L100,$L$7:$L$106))</f>
        <v/>
      </c>
    </row>
    <row r="101" customFormat="false" ht="15" hidden="false" customHeight="false" outlineLevel="0" collapsed="false">
      <c r="A101" s="31" t="str">
        <f aca="false">IF(Employee_Master!A99="","",Employee_Master!A99)</f>
        <v/>
      </c>
      <c r="B101" s="31" t="str">
        <f aca="false">IF($A101="","",Employee_Master!B99)</f>
        <v/>
      </c>
      <c r="C101" s="31" t="str">
        <f aca="false">IF($A101="","",Employee_Master!C99)</f>
        <v/>
      </c>
      <c r="D101" s="32" t="str">
        <f aca="false">IF($A101="","",COUNTIFS(Qualification_Log!$C$5:$C$304,$A101,Qualification_Log!$U$5:$U$304,"Active"))</f>
        <v/>
      </c>
      <c r="E101" s="32" t="str">
        <f aca="false">IF($A101="","",COUNTIFS(Qualification_Log!$C$5:$C$304,$A101,Qualification_Log!$Q$5:$Q$304,"Yes",Qualification_Log!$R$5:$R$304,"&gt;="&amp;$B$3,Qualification_Log!$R$5:$R$304,"&lt;="&amp;$B$4))</f>
        <v/>
      </c>
      <c r="F101" s="32" t="str">
        <f aca="false">IF($A101="","",COUNTIFS(Qualification_Log!$C$5:$C$304,$A101,Qualification_Log!$G$5:$G$304,"Quality Incident",Qualification_Log!$B$5:$B$304,"&gt;="&amp;$B$3,Qualification_Log!$B$5:$B$304,"&lt;="&amp;$B$4)+COUNTIFS(Qualification_Log!$C$5:$C$304,$A101,Qualification_Log!$G$5:$G$304,"Decertification",Qualification_Log!$O$5:$O$304,"&lt;&gt;",Qualification_Log!$B$5:$B$304,"&gt;="&amp;$B$3,Qualification_Log!$B$5:$B$304,"&lt;="&amp;$B$4))</f>
        <v/>
      </c>
      <c r="G101" s="32" t="str">
        <f aca="false">IF($A101="","",COUNTIFS(Qualification_Log!$C$5:$C$304,$A101,Qualification_Log!$O$5:$O$304,"Critical",Qualification_Log!$B$5:$B$304,"&gt;="&amp;$B$3,Qualification_Log!$B$5:$B$304,"&lt;="&amp;$B$4))</f>
        <v/>
      </c>
      <c r="H101" s="33" t="str">
        <f aca="false">IF($A101="","",SUMIFS(Qualification_Log!$N$5:$N$304,Qualification_Log!$C$5:$C$304,$A101,Qualification_Log!$B$5:$B$304,"&gt;="&amp;$B$3,Qualification_Log!$B$5:$B$304,"&lt;="&amp;$B$4))</f>
        <v/>
      </c>
      <c r="I101" s="32" t="str">
        <f aca="false">IF($A101="","",COUNTIFS(Recognition_Log!$C$5:$C$304,$A101,Recognition_Log!$N$5:$N$304,"Approved",Recognition_Log!$O$5:$O$304,"&gt;="&amp;$B$3,Recognition_Log!$O$5:$O$304,"&lt;="&amp;$B$4))</f>
        <v/>
      </c>
      <c r="J101" s="32" t="str">
        <f aca="false">IF($A101="","",SUMIFS(Recognition_Log!$Q$5:$Q$304,Recognition_Log!$C$5:$C$304,$A101,Recognition_Log!$O$5:$O$304,"&gt;="&amp;$B$3,Recognition_Log!$O$5:$O$304,"&lt;="&amp;$B$4))</f>
        <v/>
      </c>
      <c r="K101" s="32" t="str">
        <f aca="false">IF($A101="","",SUMIFS(Corrective_Action_Log!$T$5:$T$304,Corrective_Action_Log!$C$5:$C$304,$A101,Corrective_Action_Log!$N$5:$N$304,"&gt;="&amp;$B$3,Corrective_Action_Log!$N$5:$N$304,"&lt;="&amp;$B$4))</f>
        <v/>
      </c>
      <c r="L101" s="32" t="str">
        <f aca="false">IF($A101="","",J101-K101)</f>
        <v/>
      </c>
      <c r="M101" s="34" t="str">
        <f aca="false">IF($A101="","",IF(OR(G101&gt;0,E101&gt;0),"Under Review",IF(L101&gt;=Reference_Data!$AL$7,"Exemplary",IF(L101&gt;=Reference_Data!$AL$8,"Commendable",IF(L101&gt;=Reference_Data!$AL$9,"Meets Standard","Needs Improvement")))))</f>
        <v/>
      </c>
      <c r="N101" s="34" t="str">
        <f aca="false">IF($A101="","",IF(OR(G101&gt;0,K101&gt;=Reference_Data!$AL$10),"Ineligible","Eligible"))</f>
        <v/>
      </c>
      <c r="O101" s="32" t="str">
        <f aca="false">IF($A101="","",RANK(L101,$L$7:$L$106))</f>
        <v/>
      </c>
    </row>
    <row r="102" customFormat="false" ht="15" hidden="false" customHeight="false" outlineLevel="0" collapsed="false">
      <c r="A102" s="31" t="str">
        <f aca="false">IF(Employee_Master!A100="","",Employee_Master!A100)</f>
        <v/>
      </c>
      <c r="B102" s="31" t="str">
        <f aca="false">IF($A102="","",Employee_Master!B100)</f>
        <v/>
      </c>
      <c r="C102" s="31" t="str">
        <f aca="false">IF($A102="","",Employee_Master!C100)</f>
        <v/>
      </c>
      <c r="D102" s="32" t="str">
        <f aca="false">IF($A102="","",COUNTIFS(Qualification_Log!$C$5:$C$304,$A102,Qualification_Log!$U$5:$U$304,"Active"))</f>
        <v/>
      </c>
      <c r="E102" s="32" t="str">
        <f aca="false">IF($A102="","",COUNTIFS(Qualification_Log!$C$5:$C$304,$A102,Qualification_Log!$Q$5:$Q$304,"Yes",Qualification_Log!$R$5:$R$304,"&gt;="&amp;$B$3,Qualification_Log!$R$5:$R$304,"&lt;="&amp;$B$4))</f>
        <v/>
      </c>
      <c r="F102" s="32" t="str">
        <f aca="false">IF($A102="","",COUNTIFS(Qualification_Log!$C$5:$C$304,$A102,Qualification_Log!$G$5:$G$304,"Quality Incident",Qualification_Log!$B$5:$B$304,"&gt;="&amp;$B$3,Qualification_Log!$B$5:$B$304,"&lt;="&amp;$B$4)+COUNTIFS(Qualification_Log!$C$5:$C$304,$A102,Qualification_Log!$G$5:$G$304,"Decertification",Qualification_Log!$O$5:$O$304,"&lt;&gt;",Qualification_Log!$B$5:$B$304,"&gt;="&amp;$B$3,Qualification_Log!$B$5:$B$304,"&lt;="&amp;$B$4))</f>
        <v/>
      </c>
      <c r="G102" s="32" t="str">
        <f aca="false">IF($A102="","",COUNTIFS(Qualification_Log!$C$5:$C$304,$A102,Qualification_Log!$O$5:$O$304,"Critical",Qualification_Log!$B$5:$B$304,"&gt;="&amp;$B$3,Qualification_Log!$B$5:$B$304,"&lt;="&amp;$B$4))</f>
        <v/>
      </c>
      <c r="H102" s="33" t="str">
        <f aca="false">IF($A102="","",SUMIFS(Qualification_Log!$N$5:$N$304,Qualification_Log!$C$5:$C$304,$A102,Qualification_Log!$B$5:$B$304,"&gt;="&amp;$B$3,Qualification_Log!$B$5:$B$304,"&lt;="&amp;$B$4))</f>
        <v/>
      </c>
      <c r="I102" s="32" t="str">
        <f aca="false">IF($A102="","",COUNTIFS(Recognition_Log!$C$5:$C$304,$A102,Recognition_Log!$N$5:$N$304,"Approved",Recognition_Log!$O$5:$O$304,"&gt;="&amp;$B$3,Recognition_Log!$O$5:$O$304,"&lt;="&amp;$B$4))</f>
        <v/>
      </c>
      <c r="J102" s="32" t="str">
        <f aca="false">IF($A102="","",SUMIFS(Recognition_Log!$Q$5:$Q$304,Recognition_Log!$C$5:$C$304,$A102,Recognition_Log!$O$5:$O$304,"&gt;="&amp;$B$3,Recognition_Log!$O$5:$O$304,"&lt;="&amp;$B$4))</f>
        <v/>
      </c>
      <c r="K102" s="32" t="str">
        <f aca="false">IF($A102="","",SUMIFS(Corrective_Action_Log!$T$5:$T$304,Corrective_Action_Log!$C$5:$C$304,$A102,Corrective_Action_Log!$N$5:$N$304,"&gt;="&amp;$B$3,Corrective_Action_Log!$N$5:$N$304,"&lt;="&amp;$B$4))</f>
        <v/>
      </c>
      <c r="L102" s="32" t="str">
        <f aca="false">IF($A102="","",J102-K102)</f>
        <v/>
      </c>
      <c r="M102" s="34" t="str">
        <f aca="false">IF($A102="","",IF(OR(G102&gt;0,E102&gt;0),"Under Review",IF(L102&gt;=Reference_Data!$AL$7,"Exemplary",IF(L102&gt;=Reference_Data!$AL$8,"Commendable",IF(L102&gt;=Reference_Data!$AL$9,"Meets Standard","Needs Improvement")))))</f>
        <v/>
      </c>
      <c r="N102" s="34" t="str">
        <f aca="false">IF($A102="","",IF(OR(G102&gt;0,K102&gt;=Reference_Data!$AL$10),"Ineligible","Eligible"))</f>
        <v/>
      </c>
      <c r="O102" s="32" t="str">
        <f aca="false">IF($A102="","",RANK(L102,$L$7:$L$106))</f>
        <v/>
      </c>
    </row>
    <row r="103" customFormat="false" ht="15" hidden="false" customHeight="false" outlineLevel="0" collapsed="false">
      <c r="A103" s="31" t="str">
        <f aca="false">IF(Employee_Master!A101="","",Employee_Master!A101)</f>
        <v/>
      </c>
      <c r="B103" s="31" t="str">
        <f aca="false">IF($A103="","",Employee_Master!B101)</f>
        <v/>
      </c>
      <c r="C103" s="31" t="str">
        <f aca="false">IF($A103="","",Employee_Master!C101)</f>
        <v/>
      </c>
      <c r="D103" s="32" t="str">
        <f aca="false">IF($A103="","",COUNTIFS(Qualification_Log!$C$5:$C$304,$A103,Qualification_Log!$U$5:$U$304,"Active"))</f>
        <v/>
      </c>
      <c r="E103" s="32" t="str">
        <f aca="false">IF($A103="","",COUNTIFS(Qualification_Log!$C$5:$C$304,$A103,Qualification_Log!$Q$5:$Q$304,"Yes",Qualification_Log!$R$5:$R$304,"&gt;="&amp;$B$3,Qualification_Log!$R$5:$R$304,"&lt;="&amp;$B$4))</f>
        <v/>
      </c>
      <c r="F103" s="32" t="str">
        <f aca="false">IF($A103="","",COUNTIFS(Qualification_Log!$C$5:$C$304,$A103,Qualification_Log!$G$5:$G$304,"Quality Incident",Qualification_Log!$B$5:$B$304,"&gt;="&amp;$B$3,Qualification_Log!$B$5:$B$304,"&lt;="&amp;$B$4)+COUNTIFS(Qualification_Log!$C$5:$C$304,$A103,Qualification_Log!$G$5:$G$304,"Decertification",Qualification_Log!$O$5:$O$304,"&lt;&gt;",Qualification_Log!$B$5:$B$304,"&gt;="&amp;$B$3,Qualification_Log!$B$5:$B$304,"&lt;="&amp;$B$4))</f>
        <v/>
      </c>
      <c r="G103" s="32" t="str">
        <f aca="false">IF($A103="","",COUNTIFS(Qualification_Log!$C$5:$C$304,$A103,Qualification_Log!$O$5:$O$304,"Critical",Qualification_Log!$B$5:$B$304,"&gt;="&amp;$B$3,Qualification_Log!$B$5:$B$304,"&lt;="&amp;$B$4))</f>
        <v/>
      </c>
      <c r="H103" s="33" t="str">
        <f aca="false">IF($A103="","",SUMIFS(Qualification_Log!$N$5:$N$304,Qualification_Log!$C$5:$C$304,$A103,Qualification_Log!$B$5:$B$304,"&gt;="&amp;$B$3,Qualification_Log!$B$5:$B$304,"&lt;="&amp;$B$4))</f>
        <v/>
      </c>
      <c r="I103" s="32" t="str">
        <f aca="false">IF($A103="","",COUNTIFS(Recognition_Log!$C$5:$C$304,$A103,Recognition_Log!$N$5:$N$304,"Approved",Recognition_Log!$O$5:$O$304,"&gt;="&amp;$B$3,Recognition_Log!$O$5:$O$304,"&lt;="&amp;$B$4))</f>
        <v/>
      </c>
      <c r="J103" s="32" t="str">
        <f aca="false">IF($A103="","",SUMIFS(Recognition_Log!$Q$5:$Q$304,Recognition_Log!$C$5:$C$304,$A103,Recognition_Log!$O$5:$O$304,"&gt;="&amp;$B$3,Recognition_Log!$O$5:$O$304,"&lt;="&amp;$B$4))</f>
        <v/>
      </c>
      <c r="K103" s="32" t="str">
        <f aca="false">IF($A103="","",SUMIFS(Corrective_Action_Log!$T$5:$T$304,Corrective_Action_Log!$C$5:$C$304,$A103,Corrective_Action_Log!$N$5:$N$304,"&gt;="&amp;$B$3,Corrective_Action_Log!$N$5:$N$304,"&lt;="&amp;$B$4))</f>
        <v/>
      </c>
      <c r="L103" s="32" t="str">
        <f aca="false">IF($A103="","",J103-K103)</f>
        <v/>
      </c>
      <c r="M103" s="34" t="str">
        <f aca="false">IF($A103="","",IF(OR(G103&gt;0,E103&gt;0),"Under Review",IF(L103&gt;=Reference_Data!$AL$7,"Exemplary",IF(L103&gt;=Reference_Data!$AL$8,"Commendable",IF(L103&gt;=Reference_Data!$AL$9,"Meets Standard","Needs Improvement")))))</f>
        <v/>
      </c>
      <c r="N103" s="34" t="str">
        <f aca="false">IF($A103="","",IF(OR(G103&gt;0,K103&gt;=Reference_Data!$AL$10),"Ineligible","Eligible"))</f>
        <v/>
      </c>
      <c r="O103" s="32" t="str">
        <f aca="false">IF($A103="","",RANK(L103,$L$7:$L$106))</f>
        <v/>
      </c>
    </row>
    <row r="104" customFormat="false" ht="15" hidden="false" customHeight="false" outlineLevel="0" collapsed="false">
      <c r="A104" s="31" t="str">
        <f aca="false">IF(Employee_Master!A102="","",Employee_Master!A102)</f>
        <v/>
      </c>
      <c r="B104" s="31" t="str">
        <f aca="false">IF($A104="","",Employee_Master!B102)</f>
        <v/>
      </c>
      <c r="C104" s="31" t="str">
        <f aca="false">IF($A104="","",Employee_Master!C102)</f>
        <v/>
      </c>
      <c r="D104" s="32" t="str">
        <f aca="false">IF($A104="","",COUNTIFS(Qualification_Log!$C$5:$C$304,$A104,Qualification_Log!$U$5:$U$304,"Active"))</f>
        <v/>
      </c>
      <c r="E104" s="32" t="str">
        <f aca="false">IF($A104="","",COUNTIFS(Qualification_Log!$C$5:$C$304,$A104,Qualification_Log!$Q$5:$Q$304,"Yes",Qualification_Log!$R$5:$R$304,"&gt;="&amp;$B$3,Qualification_Log!$R$5:$R$304,"&lt;="&amp;$B$4))</f>
        <v/>
      </c>
      <c r="F104" s="32" t="str">
        <f aca="false">IF($A104="","",COUNTIFS(Qualification_Log!$C$5:$C$304,$A104,Qualification_Log!$G$5:$G$304,"Quality Incident",Qualification_Log!$B$5:$B$304,"&gt;="&amp;$B$3,Qualification_Log!$B$5:$B$304,"&lt;="&amp;$B$4)+COUNTIFS(Qualification_Log!$C$5:$C$304,$A104,Qualification_Log!$G$5:$G$304,"Decertification",Qualification_Log!$O$5:$O$304,"&lt;&gt;",Qualification_Log!$B$5:$B$304,"&gt;="&amp;$B$3,Qualification_Log!$B$5:$B$304,"&lt;="&amp;$B$4))</f>
        <v/>
      </c>
      <c r="G104" s="32" t="str">
        <f aca="false">IF($A104="","",COUNTIFS(Qualification_Log!$C$5:$C$304,$A104,Qualification_Log!$O$5:$O$304,"Critical",Qualification_Log!$B$5:$B$304,"&gt;="&amp;$B$3,Qualification_Log!$B$5:$B$304,"&lt;="&amp;$B$4))</f>
        <v/>
      </c>
      <c r="H104" s="33" t="str">
        <f aca="false">IF($A104="","",SUMIFS(Qualification_Log!$N$5:$N$304,Qualification_Log!$C$5:$C$304,$A104,Qualification_Log!$B$5:$B$304,"&gt;="&amp;$B$3,Qualification_Log!$B$5:$B$304,"&lt;="&amp;$B$4))</f>
        <v/>
      </c>
      <c r="I104" s="32" t="str">
        <f aca="false">IF($A104="","",COUNTIFS(Recognition_Log!$C$5:$C$304,$A104,Recognition_Log!$N$5:$N$304,"Approved",Recognition_Log!$O$5:$O$304,"&gt;="&amp;$B$3,Recognition_Log!$O$5:$O$304,"&lt;="&amp;$B$4))</f>
        <v/>
      </c>
      <c r="J104" s="32" t="str">
        <f aca="false">IF($A104="","",SUMIFS(Recognition_Log!$Q$5:$Q$304,Recognition_Log!$C$5:$C$304,$A104,Recognition_Log!$O$5:$O$304,"&gt;="&amp;$B$3,Recognition_Log!$O$5:$O$304,"&lt;="&amp;$B$4))</f>
        <v/>
      </c>
      <c r="K104" s="32" t="str">
        <f aca="false">IF($A104="","",SUMIFS(Corrective_Action_Log!$T$5:$T$304,Corrective_Action_Log!$C$5:$C$304,$A104,Corrective_Action_Log!$N$5:$N$304,"&gt;="&amp;$B$3,Corrective_Action_Log!$N$5:$N$304,"&lt;="&amp;$B$4))</f>
        <v/>
      </c>
      <c r="L104" s="32" t="str">
        <f aca="false">IF($A104="","",J104-K104)</f>
        <v/>
      </c>
      <c r="M104" s="34" t="str">
        <f aca="false">IF($A104="","",IF(OR(G104&gt;0,E104&gt;0),"Under Review",IF(L104&gt;=Reference_Data!$AL$7,"Exemplary",IF(L104&gt;=Reference_Data!$AL$8,"Commendable",IF(L104&gt;=Reference_Data!$AL$9,"Meets Standard","Needs Improvement")))))</f>
        <v/>
      </c>
      <c r="N104" s="34" t="str">
        <f aca="false">IF($A104="","",IF(OR(G104&gt;0,K104&gt;=Reference_Data!$AL$10),"Ineligible","Eligible"))</f>
        <v/>
      </c>
      <c r="O104" s="32" t="str">
        <f aca="false">IF($A104="","",RANK(L104,$L$7:$L$106))</f>
        <v/>
      </c>
    </row>
    <row r="105" customFormat="false" ht="15" hidden="false" customHeight="false" outlineLevel="0" collapsed="false">
      <c r="A105" s="31" t="str">
        <f aca="false">IF(Employee_Master!A103="","",Employee_Master!A103)</f>
        <v/>
      </c>
      <c r="B105" s="31" t="str">
        <f aca="false">IF($A105="","",Employee_Master!B103)</f>
        <v/>
      </c>
      <c r="C105" s="31" t="str">
        <f aca="false">IF($A105="","",Employee_Master!C103)</f>
        <v/>
      </c>
      <c r="D105" s="32" t="str">
        <f aca="false">IF($A105="","",COUNTIFS(Qualification_Log!$C$5:$C$304,$A105,Qualification_Log!$U$5:$U$304,"Active"))</f>
        <v/>
      </c>
      <c r="E105" s="32" t="str">
        <f aca="false">IF($A105="","",COUNTIFS(Qualification_Log!$C$5:$C$304,$A105,Qualification_Log!$Q$5:$Q$304,"Yes",Qualification_Log!$R$5:$R$304,"&gt;="&amp;$B$3,Qualification_Log!$R$5:$R$304,"&lt;="&amp;$B$4))</f>
        <v/>
      </c>
      <c r="F105" s="32" t="str">
        <f aca="false">IF($A105="","",COUNTIFS(Qualification_Log!$C$5:$C$304,$A105,Qualification_Log!$G$5:$G$304,"Quality Incident",Qualification_Log!$B$5:$B$304,"&gt;="&amp;$B$3,Qualification_Log!$B$5:$B$304,"&lt;="&amp;$B$4)+COUNTIFS(Qualification_Log!$C$5:$C$304,$A105,Qualification_Log!$G$5:$G$304,"Decertification",Qualification_Log!$O$5:$O$304,"&lt;&gt;",Qualification_Log!$B$5:$B$304,"&gt;="&amp;$B$3,Qualification_Log!$B$5:$B$304,"&lt;="&amp;$B$4))</f>
        <v/>
      </c>
      <c r="G105" s="32" t="str">
        <f aca="false">IF($A105="","",COUNTIFS(Qualification_Log!$C$5:$C$304,$A105,Qualification_Log!$O$5:$O$304,"Critical",Qualification_Log!$B$5:$B$304,"&gt;="&amp;$B$3,Qualification_Log!$B$5:$B$304,"&lt;="&amp;$B$4))</f>
        <v/>
      </c>
      <c r="H105" s="33" t="str">
        <f aca="false">IF($A105="","",SUMIFS(Qualification_Log!$N$5:$N$304,Qualification_Log!$C$5:$C$304,$A105,Qualification_Log!$B$5:$B$304,"&gt;="&amp;$B$3,Qualification_Log!$B$5:$B$304,"&lt;="&amp;$B$4))</f>
        <v/>
      </c>
      <c r="I105" s="32" t="str">
        <f aca="false">IF($A105="","",COUNTIFS(Recognition_Log!$C$5:$C$304,$A105,Recognition_Log!$N$5:$N$304,"Approved",Recognition_Log!$O$5:$O$304,"&gt;="&amp;$B$3,Recognition_Log!$O$5:$O$304,"&lt;="&amp;$B$4))</f>
        <v/>
      </c>
      <c r="J105" s="32" t="str">
        <f aca="false">IF($A105="","",SUMIFS(Recognition_Log!$Q$5:$Q$304,Recognition_Log!$C$5:$C$304,$A105,Recognition_Log!$O$5:$O$304,"&gt;="&amp;$B$3,Recognition_Log!$O$5:$O$304,"&lt;="&amp;$B$4))</f>
        <v/>
      </c>
      <c r="K105" s="32" t="str">
        <f aca="false">IF($A105="","",SUMIFS(Corrective_Action_Log!$T$5:$T$304,Corrective_Action_Log!$C$5:$C$304,$A105,Corrective_Action_Log!$N$5:$N$304,"&gt;="&amp;$B$3,Corrective_Action_Log!$N$5:$N$304,"&lt;="&amp;$B$4))</f>
        <v/>
      </c>
      <c r="L105" s="32" t="str">
        <f aca="false">IF($A105="","",J105-K105)</f>
        <v/>
      </c>
      <c r="M105" s="34" t="str">
        <f aca="false">IF($A105="","",IF(OR(G105&gt;0,E105&gt;0),"Under Review",IF(L105&gt;=Reference_Data!$AL$7,"Exemplary",IF(L105&gt;=Reference_Data!$AL$8,"Commendable",IF(L105&gt;=Reference_Data!$AL$9,"Meets Standard","Needs Improvement")))))</f>
        <v/>
      </c>
      <c r="N105" s="34" t="str">
        <f aca="false">IF($A105="","",IF(OR(G105&gt;0,K105&gt;=Reference_Data!$AL$10),"Ineligible","Eligible"))</f>
        <v/>
      </c>
      <c r="O105" s="32" t="str">
        <f aca="false">IF($A105="","",RANK(L105,$L$7:$L$106))</f>
        <v/>
      </c>
    </row>
    <row r="106" customFormat="false" ht="15" hidden="false" customHeight="false" outlineLevel="0" collapsed="false">
      <c r="A106" s="31" t="str">
        <f aca="false">IF(Employee_Master!A104="","",Employee_Master!A104)</f>
        <v/>
      </c>
      <c r="B106" s="31" t="str">
        <f aca="false">IF($A106="","",Employee_Master!B104)</f>
        <v/>
      </c>
      <c r="C106" s="31" t="str">
        <f aca="false">IF($A106="","",Employee_Master!C104)</f>
        <v/>
      </c>
      <c r="D106" s="32" t="str">
        <f aca="false">IF($A106="","",COUNTIFS(Qualification_Log!$C$5:$C$304,$A106,Qualification_Log!$U$5:$U$304,"Active"))</f>
        <v/>
      </c>
      <c r="E106" s="32" t="str">
        <f aca="false">IF($A106="","",COUNTIFS(Qualification_Log!$C$5:$C$304,$A106,Qualification_Log!$Q$5:$Q$304,"Yes",Qualification_Log!$R$5:$R$304,"&gt;="&amp;$B$3,Qualification_Log!$R$5:$R$304,"&lt;="&amp;$B$4))</f>
        <v/>
      </c>
      <c r="F106" s="32" t="str">
        <f aca="false">IF($A106="","",COUNTIFS(Qualification_Log!$C$5:$C$304,$A106,Qualification_Log!$G$5:$G$304,"Quality Incident",Qualification_Log!$B$5:$B$304,"&gt;="&amp;$B$3,Qualification_Log!$B$5:$B$304,"&lt;="&amp;$B$4)+COUNTIFS(Qualification_Log!$C$5:$C$304,$A106,Qualification_Log!$G$5:$G$304,"Decertification",Qualification_Log!$O$5:$O$304,"&lt;&gt;",Qualification_Log!$B$5:$B$304,"&gt;="&amp;$B$3,Qualification_Log!$B$5:$B$304,"&lt;="&amp;$B$4))</f>
        <v/>
      </c>
      <c r="G106" s="32" t="str">
        <f aca="false">IF($A106="","",COUNTIFS(Qualification_Log!$C$5:$C$304,$A106,Qualification_Log!$O$5:$O$304,"Critical",Qualification_Log!$B$5:$B$304,"&gt;="&amp;$B$3,Qualification_Log!$B$5:$B$304,"&lt;="&amp;$B$4))</f>
        <v/>
      </c>
      <c r="H106" s="33" t="str">
        <f aca="false">IF($A106="","",SUMIFS(Qualification_Log!$N$5:$N$304,Qualification_Log!$C$5:$C$304,$A106,Qualification_Log!$B$5:$B$304,"&gt;="&amp;$B$3,Qualification_Log!$B$5:$B$304,"&lt;="&amp;$B$4))</f>
        <v/>
      </c>
      <c r="I106" s="32" t="str">
        <f aca="false">IF($A106="","",COUNTIFS(Recognition_Log!$C$5:$C$304,$A106,Recognition_Log!$N$5:$N$304,"Approved",Recognition_Log!$O$5:$O$304,"&gt;="&amp;$B$3,Recognition_Log!$O$5:$O$304,"&lt;="&amp;$B$4))</f>
        <v/>
      </c>
      <c r="J106" s="32" t="str">
        <f aca="false">IF($A106="","",SUMIFS(Recognition_Log!$Q$5:$Q$304,Recognition_Log!$C$5:$C$304,$A106,Recognition_Log!$O$5:$O$304,"&gt;="&amp;$B$3,Recognition_Log!$O$5:$O$304,"&lt;="&amp;$B$4))</f>
        <v/>
      </c>
      <c r="K106" s="32" t="str">
        <f aca="false">IF($A106="","",SUMIFS(Corrective_Action_Log!$T$5:$T$304,Corrective_Action_Log!$C$5:$C$304,$A106,Corrective_Action_Log!$N$5:$N$304,"&gt;="&amp;$B$3,Corrective_Action_Log!$N$5:$N$304,"&lt;="&amp;$B$4))</f>
        <v/>
      </c>
      <c r="L106" s="32" t="str">
        <f aca="false">IF($A106="","",J106-K106)</f>
        <v/>
      </c>
      <c r="M106" s="34" t="str">
        <f aca="false">IF($A106="","",IF(OR(G106&gt;0,E106&gt;0),"Under Review",IF(L106&gt;=Reference_Data!$AL$7,"Exemplary",IF(L106&gt;=Reference_Data!$AL$8,"Commendable",IF(L106&gt;=Reference_Data!$AL$9,"Meets Standard","Needs Improvement")))))</f>
        <v/>
      </c>
      <c r="N106" s="34" t="str">
        <f aca="false">IF($A106="","",IF(OR(G106&gt;0,K106&gt;=Reference_Data!$AL$10),"Ineligible","Eligible"))</f>
        <v/>
      </c>
      <c r="O106" s="32" t="str">
        <f aca="false">IF($A106="","",RANK(L106,$L$7:$L$106))</f>
        <v/>
      </c>
    </row>
  </sheetData>
  <autoFilter ref="A6:O106"/>
  <conditionalFormatting sqref="M7:M106">
    <cfRule type="cellIs" priority="2" operator="equal" aboveAverage="0" equalAverage="0" bottom="0" percent="0" rank="0" text="" dxfId="8">
      <formula>"Exemplary"</formula>
    </cfRule>
    <cfRule type="cellIs" priority="3" operator="equal" aboveAverage="0" equalAverage="0" bottom="0" percent="0" rank="0" text="" dxfId="9">
      <formula>"Commendable"</formula>
    </cfRule>
    <cfRule type="cellIs" priority="4" operator="equal" aboveAverage="0" equalAverage="0" bottom="0" percent="0" rank="0" text="" dxfId="10">
      <formula>"Under Review"</formula>
    </cfRule>
    <cfRule type="cellIs" priority="5" operator="equal" aboveAverage="0" equalAverage="0" bottom="0" percent="0" rank="0" text="" dxfId="11">
      <formula>"Needs Improvement"</formula>
    </cfRule>
  </conditionalFormatting>
  <conditionalFormatting sqref="N7:N106">
    <cfRule type="cellIs" priority="6" operator="equal" aboveAverage="0" equalAverage="0" bottom="0" percent="0" rank="0" text="" dxfId="10">
      <formula>"Ineligible"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22"/>
    <col collapsed="false" customWidth="true" hidden="false" outlineLevel="0" max="5" min="5" style="0" width="18"/>
    <col collapsed="false" customWidth="true" hidden="false" outlineLevel="0" max="6" min="6" style="0" width="32"/>
    <col collapsed="false" customWidth="true" hidden="false" outlineLevel="0" max="8" min="7" style="0" width="18"/>
    <col collapsed="false" customWidth="true" hidden="false" outlineLevel="0" max="9" min="9" style="0" width="11"/>
    <col collapsed="false" customWidth="true" hidden="false" outlineLevel="0" max="11" min="10" style="0" width="13"/>
    <col collapsed="false" customWidth="true" hidden="false" outlineLevel="0" max="12" min="12" style="0" width="16"/>
    <col collapsed="false" customWidth="true" hidden="false" outlineLevel="0" max="13" min="13" style="0" width="40"/>
    <col collapsed="false" customWidth="true" hidden="false" outlineLevel="0" max="14" min="14" style="0" width="13"/>
    <col collapsed="false" customWidth="true" hidden="false" outlineLevel="0" max="15" min="15" style="0" width="10"/>
    <col collapsed="false" customWidth="true" hidden="false" outlineLevel="0" max="16" min="16" style="0" width="26"/>
    <col collapsed="false" customWidth="true" hidden="false" outlineLevel="0" max="18" min="17" style="0" width="13"/>
    <col collapsed="false" customWidth="true" hidden="false" outlineLevel="0" max="19" min="19" style="0" width="32"/>
    <col collapsed="false" customWidth="true" hidden="false" outlineLevel="0" max="20" min="20" style="0" width="13"/>
    <col collapsed="false" customWidth="true" hidden="false" outlineLevel="0" max="21" min="21" style="0" width="16"/>
    <col collapsed="false" customWidth="true" hidden="false" outlineLevel="0" max="22" min="22" style="0" width="18"/>
    <col collapsed="false" customWidth="true" hidden="false" outlineLevel="0" max="23" min="23" style="0" width="30"/>
  </cols>
  <sheetData>
    <row r="1" customFormat="false" ht="17.35" hidden="false" customHeight="false" outlineLevel="0" collapsed="false">
      <c r="A1" s="14" t="s">
        <v>222</v>
      </c>
    </row>
    <row r="2" customFormat="false" ht="15" hidden="false" customHeight="false" outlineLevel="0" collapsed="false">
      <c r="A2" s="2" t="s">
        <v>223</v>
      </c>
    </row>
    <row r="3" customFormat="false" ht="15" hidden="false" customHeight="false" outlineLevel="0" collapsed="false">
      <c r="A3" s="35" t="s">
        <v>224</v>
      </c>
    </row>
    <row r="4" customFormat="false" ht="31.5" hidden="false" customHeight="true" outlineLevel="0" collapsed="false">
      <c r="A4" s="36" t="s">
        <v>225</v>
      </c>
      <c r="B4" s="36" t="s">
        <v>226</v>
      </c>
      <c r="C4" s="36" t="s">
        <v>215</v>
      </c>
      <c r="D4" s="11" t="s">
        <v>216</v>
      </c>
      <c r="E4" s="11" t="s">
        <v>192</v>
      </c>
      <c r="F4" s="36" t="s">
        <v>227</v>
      </c>
      <c r="G4" s="36" t="s">
        <v>228</v>
      </c>
      <c r="H4" s="36" t="s">
        <v>229</v>
      </c>
      <c r="I4" s="36" t="s">
        <v>230</v>
      </c>
      <c r="J4" s="36" t="s">
        <v>231</v>
      </c>
      <c r="K4" s="11" t="s">
        <v>232</v>
      </c>
      <c r="L4" s="36" t="s">
        <v>205</v>
      </c>
      <c r="M4" s="36" t="s">
        <v>233</v>
      </c>
      <c r="N4" s="36" t="s">
        <v>234</v>
      </c>
      <c r="O4" s="36" t="s">
        <v>95</v>
      </c>
      <c r="P4" s="11" t="s">
        <v>97</v>
      </c>
      <c r="Q4" s="36" t="s">
        <v>235</v>
      </c>
      <c r="R4" s="36" t="s">
        <v>236</v>
      </c>
      <c r="S4" s="36" t="s">
        <v>237</v>
      </c>
      <c r="T4" s="11" t="s">
        <v>238</v>
      </c>
      <c r="U4" s="11" t="s">
        <v>239</v>
      </c>
      <c r="V4" s="36" t="s">
        <v>240</v>
      </c>
      <c r="W4" s="36" t="s">
        <v>241</v>
      </c>
    </row>
    <row r="5" customFormat="false" ht="15" hidden="false" customHeight="false" outlineLevel="0" collapsed="false">
      <c r="A5" s="37" t="s">
        <v>242</v>
      </c>
      <c r="B5" s="38" t="n">
        <v>46037</v>
      </c>
      <c r="C5" s="37" t="s">
        <v>243</v>
      </c>
      <c r="D5" s="31" t="str">
        <f aca="false">IF($C5="","",IFERROR(INDEX(Employee_Master!$B$5:$B$104,MATCH($C5,Employee_Master!$A$5:$A$104,0)),"ID not found"))</f>
        <v>Andrea Villanueva</v>
      </c>
      <c r="E5" s="31" t="str">
        <f aca="false">IF($C5="","",IFERROR(INDEX(Employee_Master!$C$5:$C$104,MATCH($C5,Employee_Master!$A$5:$A$104,0)),"ID not found"))</f>
        <v>Design</v>
      </c>
      <c r="F5" s="37" t="s">
        <v>244</v>
      </c>
      <c r="G5" s="37" t="s">
        <v>245</v>
      </c>
      <c r="H5" s="37" t="s">
        <v>246</v>
      </c>
      <c r="I5" s="39" t="n">
        <v>0.94</v>
      </c>
      <c r="J5" s="38" t="n">
        <v>46037</v>
      </c>
      <c r="K5" s="40" t="n">
        <f aca="false">IF(J5="","",EDATE(J5,Reference_Data!$AL$5))</f>
        <v>46402</v>
      </c>
      <c r="L5" s="37"/>
      <c r="M5" s="12"/>
      <c r="N5" s="41"/>
      <c r="O5" s="37"/>
      <c r="P5" s="31" t="str">
        <f aca="false">IF(O5="","",IFERROR(INDEX(Reference_Data!$J$5:$J$14,MATCH(O5,Reference_Data!$H$5:$H$14,0)),""))</f>
        <v/>
      </c>
      <c r="Q5" s="37" t="s">
        <v>247</v>
      </c>
      <c r="R5" s="38"/>
      <c r="S5" s="12"/>
      <c r="T5" s="40" t="str">
        <f aca="false">IF(R5="","",R5+Reference_Data!$AL$6)</f>
        <v/>
      </c>
      <c r="U5" s="31" t="str">
        <f aca="true">IF(C5="","",IF(Q5="Yes","Decertification Record",IF(J5="","—",IF(COUNTIFS($C$5:$C$304,C5,$F$5:$F$304,F5,$J$5:$J$304,"&gt;"&amp;J5)&gt;0,"Superseded",IF(COUNTIFS($C$5:$C$304,C5,$F$5:$F$304,F5,$R$5:$R$304,"&gt;="&amp;J5)&gt;0,"Decertified",IF(K5&lt;TODAY(),"Expired","Active"))))))</f>
        <v>Active</v>
      </c>
      <c r="V5" s="37" t="s">
        <v>248</v>
      </c>
      <c r="W5" s="12"/>
    </row>
    <row r="6" customFormat="false" ht="15" hidden="false" customHeight="false" outlineLevel="0" collapsed="false">
      <c r="A6" s="37" t="s">
        <v>249</v>
      </c>
      <c r="B6" s="38" t="n">
        <v>46042</v>
      </c>
      <c r="C6" s="37" t="s">
        <v>250</v>
      </c>
      <c r="D6" s="31" t="str">
        <f aca="false">IF($C6="","",IFERROR(INDEX(Employee_Master!$B$5:$B$104,MATCH($C6,Employee_Master!$A$5:$A$104,0)),"ID not found"))</f>
        <v>Carlo Mendoza</v>
      </c>
      <c r="E6" s="31" t="str">
        <f aca="false">IF($C6="","",IFERROR(INDEX(Employee_Master!$C$5:$C$104,MATCH($C6,Employee_Master!$A$5:$A$104,0)),"ID not found"))</f>
        <v>Design</v>
      </c>
      <c r="F6" s="37" t="s">
        <v>244</v>
      </c>
      <c r="G6" s="37" t="s">
        <v>245</v>
      </c>
      <c r="H6" s="37" t="s">
        <v>251</v>
      </c>
      <c r="I6" s="39" t="n">
        <v>0.86</v>
      </c>
      <c r="J6" s="38" t="n">
        <v>46042</v>
      </c>
      <c r="K6" s="40" t="n">
        <f aca="false">IF(J6="","",EDATE(J6,Reference_Data!$AL$5))</f>
        <v>46407</v>
      </c>
      <c r="L6" s="37"/>
      <c r="M6" s="12"/>
      <c r="N6" s="41"/>
      <c r="O6" s="37"/>
      <c r="P6" s="31" t="str">
        <f aca="false">IF(O6="","",IFERROR(INDEX(Reference_Data!$J$5:$J$14,MATCH(O6,Reference_Data!$H$5:$H$14,0)),""))</f>
        <v/>
      </c>
      <c r="Q6" s="37" t="s">
        <v>247</v>
      </c>
      <c r="R6" s="38"/>
      <c r="S6" s="12"/>
      <c r="T6" s="40" t="str">
        <f aca="false">IF(R6="","",R6+Reference_Data!$AL$6)</f>
        <v/>
      </c>
      <c r="U6" s="31" t="str">
        <f aca="true">IF(C6="","",IF(Q6="Yes","Decertification Record",IF(J6="","—",IF(COUNTIFS($C$5:$C$304,C6,$F$5:$F$304,F6,$J$5:$J$304,"&gt;"&amp;J6)&gt;0,"Superseded",IF(COUNTIFS($C$5:$C$304,C6,$F$5:$F$304,F6,$R$5:$R$304,"&gt;="&amp;J6)&gt;0,"Decertified",IF(K6&lt;TODAY(),"Expired","Active"))))))</f>
        <v>Superseded</v>
      </c>
      <c r="V6" s="37" t="s">
        <v>248</v>
      </c>
      <c r="W6" s="12"/>
    </row>
    <row r="7" customFormat="false" ht="23.85" hidden="false" customHeight="false" outlineLevel="0" collapsed="false">
      <c r="A7" s="37" t="s">
        <v>252</v>
      </c>
      <c r="B7" s="38" t="n">
        <v>45879</v>
      </c>
      <c r="C7" s="37" t="s">
        <v>253</v>
      </c>
      <c r="D7" s="31" t="str">
        <f aca="false">IF($C7="","",IFERROR(INDEX(Employee_Master!$B$5:$B$104,MATCH($C7,Employee_Master!$A$5:$A$104,0)),"ID not found"))</f>
        <v>Bea Santos</v>
      </c>
      <c r="E7" s="31" t="str">
        <f aca="false">IF($C7="","",IFERROR(INDEX(Employee_Master!$C$5:$C$104,MATCH($C7,Employee_Master!$A$5:$A$104,0)),"ID not found"))</f>
        <v>Permitting</v>
      </c>
      <c r="F7" s="37" t="s">
        <v>254</v>
      </c>
      <c r="G7" s="37" t="s">
        <v>245</v>
      </c>
      <c r="H7" s="37" t="s">
        <v>246</v>
      </c>
      <c r="I7" s="39" t="n">
        <v>0.91</v>
      </c>
      <c r="J7" s="38" t="n">
        <v>45879</v>
      </c>
      <c r="K7" s="40" t="n">
        <f aca="false">IF(J7="","",EDATE(J7,Reference_Data!$AL$5))</f>
        <v>46244</v>
      </c>
      <c r="L7" s="37"/>
      <c r="M7" s="12"/>
      <c r="N7" s="41"/>
      <c r="O7" s="37"/>
      <c r="P7" s="31" t="str">
        <f aca="false">IF(O7="","",IFERROR(INDEX(Reference_Data!$J$5:$J$14,MATCH(O7,Reference_Data!$H$5:$H$14,0)),""))</f>
        <v/>
      </c>
      <c r="Q7" s="37" t="s">
        <v>247</v>
      </c>
      <c r="R7" s="38"/>
      <c r="S7" s="12"/>
      <c r="T7" s="40" t="str">
        <f aca="false">IF(R7="","",R7+Reference_Data!$AL$6)</f>
        <v/>
      </c>
      <c r="U7" s="31" t="str">
        <f aca="true">IF(C7="","",IF(Q7="Yes","Decertification Record",IF(J7="","—",IF(COUNTIFS($C$5:$C$304,C7,$F$5:$F$304,F7,$J$5:$J$304,"&gt;"&amp;J7)&gt;0,"Superseded",IF(COUNTIFS($C$5:$C$304,C7,$F$5:$F$304,F7,$R$5:$R$304,"&gt;="&amp;J7)&gt;0,"Decertified",IF(K7&lt;TODAY(),"Expired","Active"))))))</f>
        <v>Expired</v>
      </c>
      <c r="V7" s="37" t="s">
        <v>255</v>
      </c>
      <c r="W7" s="12" t="s">
        <v>256</v>
      </c>
    </row>
    <row r="8" customFormat="false" ht="15" hidden="false" customHeight="false" outlineLevel="0" collapsed="false">
      <c r="A8" s="37" t="s">
        <v>257</v>
      </c>
      <c r="B8" s="38" t="n">
        <v>46056</v>
      </c>
      <c r="C8" s="37" t="s">
        <v>258</v>
      </c>
      <c r="D8" s="31" t="str">
        <f aca="false">IF($C8="","",IFERROR(INDEX(Employee_Master!$B$5:$B$104,MATCH($C8,Employee_Master!$A$5:$A$104,0)),"ID not found"))</f>
        <v>Ella Navarro</v>
      </c>
      <c r="E8" s="31" t="str">
        <f aca="false">IF($C8="","",IFERROR(INDEX(Employee_Master!$C$5:$C$104,MATCH($C8,Employee_Master!$A$5:$A$104,0)),"ID not found"))</f>
        <v>Interconnection</v>
      </c>
      <c r="F8" s="37" t="s">
        <v>259</v>
      </c>
      <c r="G8" s="37" t="s">
        <v>245</v>
      </c>
      <c r="H8" s="37" t="s">
        <v>246</v>
      </c>
      <c r="I8" s="39" t="n">
        <v>0.95</v>
      </c>
      <c r="J8" s="38" t="n">
        <v>46056</v>
      </c>
      <c r="K8" s="40" t="n">
        <f aca="false">IF(J8="","",EDATE(J8,Reference_Data!$AL$5))</f>
        <v>46421</v>
      </c>
      <c r="L8" s="37"/>
      <c r="M8" s="12"/>
      <c r="N8" s="41"/>
      <c r="O8" s="37"/>
      <c r="P8" s="31" t="str">
        <f aca="false">IF(O8="","",IFERROR(INDEX(Reference_Data!$J$5:$J$14,MATCH(O8,Reference_Data!$H$5:$H$14,0)),""))</f>
        <v/>
      </c>
      <c r="Q8" s="37" t="s">
        <v>247</v>
      </c>
      <c r="R8" s="38"/>
      <c r="S8" s="12"/>
      <c r="T8" s="40" t="str">
        <f aca="false">IF(R8="","",R8+Reference_Data!$AL$6)</f>
        <v/>
      </c>
      <c r="U8" s="31" t="str">
        <f aca="true">IF(C8="","",IF(Q8="Yes","Decertification Record",IF(J8="","—",IF(COUNTIFS($C$5:$C$304,C8,$F$5:$F$304,F8,$J$5:$J$304,"&gt;"&amp;J8)&gt;0,"Superseded",IF(COUNTIFS($C$5:$C$304,C8,$F$5:$F$304,F8,$R$5:$R$304,"&gt;="&amp;J8)&gt;0,"Decertified",IF(K8&lt;TODAY(),"Expired","Active"))))))</f>
        <v>Active</v>
      </c>
      <c r="V8" s="37" t="s">
        <v>255</v>
      </c>
      <c r="W8" s="12"/>
    </row>
    <row r="9" customFormat="false" ht="15" hidden="false" customHeight="false" outlineLevel="0" collapsed="false">
      <c r="A9" s="37" t="s">
        <v>260</v>
      </c>
      <c r="B9" s="38" t="n">
        <v>46063</v>
      </c>
      <c r="C9" s="37" t="s">
        <v>261</v>
      </c>
      <c r="D9" s="31" t="str">
        <f aca="false">IF($C9="","",IFERROR(INDEX(Employee_Master!$B$5:$B$104,MATCH($C9,Employee_Master!$A$5:$A$104,0)),"ID not found"))</f>
        <v>Francis Aquino</v>
      </c>
      <c r="E9" s="31" t="str">
        <f aca="false">IF($C9="","",IFERROR(INDEX(Employee_Master!$C$5:$C$104,MATCH($C9,Employee_Master!$A$5:$A$104,0)),"ID not found"))</f>
        <v>Interconnection</v>
      </c>
      <c r="F9" s="37" t="s">
        <v>259</v>
      </c>
      <c r="G9" s="37" t="s">
        <v>245</v>
      </c>
      <c r="H9" s="37" t="s">
        <v>251</v>
      </c>
      <c r="I9" s="39" t="n">
        <v>0.84</v>
      </c>
      <c r="J9" s="38" t="n">
        <v>46063</v>
      </c>
      <c r="K9" s="40" t="n">
        <f aca="false">IF(J9="","",EDATE(J9,Reference_Data!$AL$5))</f>
        <v>46428</v>
      </c>
      <c r="L9" s="37"/>
      <c r="M9" s="12"/>
      <c r="N9" s="41"/>
      <c r="O9" s="37"/>
      <c r="P9" s="31" t="str">
        <f aca="false">IF(O9="","",IFERROR(INDEX(Reference_Data!$J$5:$J$14,MATCH(O9,Reference_Data!$H$5:$H$14,0)),""))</f>
        <v/>
      </c>
      <c r="Q9" s="37" t="s">
        <v>247</v>
      </c>
      <c r="R9" s="38"/>
      <c r="S9" s="12"/>
      <c r="T9" s="40" t="str">
        <f aca="false">IF(R9="","",R9+Reference_Data!$AL$6)</f>
        <v/>
      </c>
      <c r="U9" s="31" t="str">
        <f aca="true">IF(C9="","",IF(Q9="Yes","Decertification Record",IF(J9="","—",IF(COUNTIFS($C$5:$C$304,C9,$F$5:$F$304,F9,$J$5:$J$304,"&gt;"&amp;J9)&gt;0,"Superseded",IF(COUNTIFS($C$5:$C$304,C9,$F$5:$F$304,F9,$R$5:$R$304,"&gt;="&amp;J9)&gt;0,"Decertified",IF(K9&lt;TODAY(),"Expired","Active"))))))</f>
        <v>Active</v>
      </c>
      <c r="V9" s="37" t="s">
        <v>255</v>
      </c>
      <c r="W9" s="12"/>
    </row>
    <row r="10" customFormat="false" ht="15" hidden="false" customHeight="false" outlineLevel="0" collapsed="false">
      <c r="A10" s="37" t="s">
        <v>262</v>
      </c>
      <c r="B10" s="38" t="n">
        <v>46027</v>
      </c>
      <c r="C10" s="37" t="s">
        <v>263</v>
      </c>
      <c r="D10" s="31" t="str">
        <f aca="false">IF($C10="","",IFERROR(INDEX(Employee_Master!$B$5:$B$104,MATCH($C10,Employee_Master!$A$5:$A$104,0)),"ID not found"))</f>
        <v>Grace Bautista</v>
      </c>
      <c r="E10" s="31" t="str">
        <f aca="false">IF($C10="","",IFERROR(INDEX(Employee_Master!$C$5:$C$104,MATCH($C10,Employee_Master!$A$5:$A$104,0)),"ID not found"))</f>
        <v>Quality Assurance</v>
      </c>
      <c r="F10" s="37" t="s">
        <v>264</v>
      </c>
      <c r="G10" s="37" t="s">
        <v>245</v>
      </c>
      <c r="H10" s="37" t="s">
        <v>265</v>
      </c>
      <c r="I10" s="39" t="n">
        <v>0.98</v>
      </c>
      <c r="J10" s="38" t="n">
        <v>46027</v>
      </c>
      <c r="K10" s="40" t="n">
        <f aca="false">IF(J10="","",EDATE(J10,Reference_Data!$AL$5))</f>
        <v>46392</v>
      </c>
      <c r="L10" s="37"/>
      <c r="M10" s="12"/>
      <c r="N10" s="41"/>
      <c r="O10" s="37"/>
      <c r="P10" s="31" t="str">
        <f aca="false">IF(O10="","",IFERROR(INDEX(Reference_Data!$J$5:$J$14,MATCH(O10,Reference_Data!$H$5:$H$14,0)),""))</f>
        <v/>
      </c>
      <c r="Q10" s="37" t="s">
        <v>247</v>
      </c>
      <c r="R10" s="38"/>
      <c r="S10" s="12"/>
      <c r="T10" s="40" t="str">
        <f aca="false">IF(R10="","",R10+Reference_Data!$AL$6)</f>
        <v/>
      </c>
      <c r="U10" s="31" t="str">
        <f aca="true">IF(C10="","",IF(Q10="Yes","Decertification Record",IF(J10="","—",IF(COUNTIFS($C$5:$C$304,C10,$F$5:$F$304,F10,$J$5:$J$304,"&gt;"&amp;J10)&gt;0,"Superseded",IF(COUNTIFS($C$5:$C$304,C10,$F$5:$F$304,F10,$R$5:$R$304,"&gt;="&amp;J10)&gt;0,"Decertified",IF(K10&lt;TODAY(),"Expired","Active"))))))</f>
        <v>Active</v>
      </c>
      <c r="V10" s="37" t="s">
        <v>266</v>
      </c>
      <c r="W10" s="12"/>
    </row>
    <row r="11" customFormat="false" ht="15" hidden="false" customHeight="false" outlineLevel="0" collapsed="false">
      <c r="A11" s="37" t="s">
        <v>267</v>
      </c>
      <c r="B11" s="38" t="n">
        <v>46027</v>
      </c>
      <c r="C11" s="37" t="s">
        <v>268</v>
      </c>
      <c r="D11" s="31" t="str">
        <f aca="false">IF($C11="","",IFERROR(INDEX(Employee_Master!$B$5:$B$104,MATCH($C11,Employee_Master!$A$5:$A$104,0)),"ID not found"))</f>
        <v>Hector Lim</v>
      </c>
      <c r="E11" s="31" t="str">
        <f aca="false">IF($C11="","",IFERROR(INDEX(Employee_Master!$C$5:$C$104,MATCH($C11,Employee_Master!$A$5:$A$104,0)),"ID not found"))</f>
        <v>Quality Assurance</v>
      </c>
      <c r="F11" s="37" t="s">
        <v>264</v>
      </c>
      <c r="G11" s="37" t="s">
        <v>245</v>
      </c>
      <c r="H11" s="37" t="s">
        <v>246</v>
      </c>
      <c r="I11" s="39" t="n">
        <v>0.93</v>
      </c>
      <c r="J11" s="38" t="n">
        <v>46027</v>
      </c>
      <c r="K11" s="40" t="n">
        <f aca="false">IF(J11="","",EDATE(J11,Reference_Data!$AL$5))</f>
        <v>46392</v>
      </c>
      <c r="L11" s="37"/>
      <c r="M11" s="12"/>
      <c r="N11" s="41"/>
      <c r="O11" s="37"/>
      <c r="P11" s="31" t="str">
        <f aca="false">IF(O11="","",IFERROR(INDEX(Reference_Data!$J$5:$J$14,MATCH(O11,Reference_Data!$H$5:$H$14,0)),""))</f>
        <v/>
      </c>
      <c r="Q11" s="37" t="s">
        <v>247</v>
      </c>
      <c r="R11" s="38"/>
      <c r="S11" s="12"/>
      <c r="T11" s="40" t="str">
        <f aca="false">IF(R11="","",R11+Reference_Data!$AL$6)</f>
        <v/>
      </c>
      <c r="U11" s="31" t="str">
        <f aca="true">IF(C11="","",IF(Q11="Yes","Decertification Record",IF(J11="","—",IF(COUNTIFS($C$5:$C$304,C11,$F$5:$F$304,F11,$J$5:$J$304,"&gt;"&amp;J11)&gt;0,"Superseded",IF(COUNTIFS($C$5:$C$304,C11,$F$5:$F$304,F11,$R$5:$R$304,"&gt;="&amp;J11)&gt;0,"Decertified",IF(K11&lt;TODAY(),"Expired","Active"))))))</f>
        <v>Active</v>
      </c>
      <c r="V11" s="37" t="s">
        <v>248</v>
      </c>
      <c r="W11" s="12"/>
    </row>
    <row r="12" customFormat="false" ht="15" hidden="false" customHeight="false" outlineLevel="0" collapsed="false">
      <c r="A12" s="37" t="s">
        <v>269</v>
      </c>
      <c r="B12" s="38" t="n">
        <v>46082</v>
      </c>
      <c r="C12" s="37" t="s">
        <v>270</v>
      </c>
      <c r="D12" s="31" t="str">
        <f aca="false">IF($C12="","",IFERROR(INDEX(Employee_Master!$B$5:$B$104,MATCH($C12,Employee_Master!$A$5:$A$104,0)),"ID not found"))</f>
        <v>Jomar Dela Cruz</v>
      </c>
      <c r="E12" s="31" t="str">
        <f aca="false">IF($C12="","",IFERROR(INDEX(Employee_Master!$C$5:$C$104,MATCH($C12,Employee_Master!$A$5:$A$104,0)),"ID not found"))</f>
        <v>Design</v>
      </c>
      <c r="F12" s="37" t="s">
        <v>244</v>
      </c>
      <c r="G12" s="37" t="s">
        <v>245</v>
      </c>
      <c r="H12" s="37" t="s">
        <v>251</v>
      </c>
      <c r="I12" s="39" t="n">
        <v>0.82</v>
      </c>
      <c r="J12" s="38" t="n">
        <v>46082</v>
      </c>
      <c r="K12" s="40" t="n">
        <f aca="false">IF(J12="","",EDATE(J12,Reference_Data!$AL$5))</f>
        <v>46447</v>
      </c>
      <c r="L12" s="37"/>
      <c r="M12" s="12"/>
      <c r="N12" s="41"/>
      <c r="O12" s="37"/>
      <c r="P12" s="31" t="str">
        <f aca="false">IF(O12="","",IFERROR(INDEX(Reference_Data!$J$5:$J$14,MATCH(O12,Reference_Data!$H$5:$H$14,0)),""))</f>
        <v/>
      </c>
      <c r="Q12" s="37" t="s">
        <v>247</v>
      </c>
      <c r="R12" s="38"/>
      <c r="S12" s="12"/>
      <c r="T12" s="40" t="str">
        <f aca="false">IF(R12="","",R12+Reference_Data!$AL$6)</f>
        <v/>
      </c>
      <c r="U12" s="31" t="str">
        <f aca="true">IF(C12="","",IF(Q12="Yes","Decertification Record",IF(J12="","—",IF(COUNTIFS($C$5:$C$304,C12,$F$5:$F$304,F12,$J$5:$J$304,"&gt;"&amp;J12)&gt;0,"Superseded",IF(COUNTIFS($C$5:$C$304,C12,$F$5:$F$304,F12,$R$5:$R$304,"&gt;="&amp;J12)&gt;0,"Decertified",IF(K12&lt;TODAY(),"Expired","Active"))))))</f>
        <v>Superseded</v>
      </c>
      <c r="V12" s="37" t="s">
        <v>248</v>
      </c>
      <c r="W12" s="12"/>
    </row>
    <row r="13" customFormat="false" ht="15" hidden="false" customHeight="false" outlineLevel="0" collapsed="false">
      <c r="A13" s="37" t="s">
        <v>271</v>
      </c>
      <c r="B13" s="38" t="n">
        <v>46068</v>
      </c>
      <c r="C13" s="37" t="s">
        <v>272</v>
      </c>
      <c r="D13" s="31" t="str">
        <f aca="false">IF($C13="","",IFERROR(INDEX(Employee_Master!$B$5:$B$104,MATCH($C13,Employee_Master!$A$5:$A$104,0)),"ID not found"))</f>
        <v>Daniel Reyes</v>
      </c>
      <c r="E13" s="31" t="str">
        <f aca="false">IF($C13="","",IFERROR(INDEX(Employee_Master!$C$5:$C$104,MATCH($C13,Employee_Master!$A$5:$A$104,0)),"ID not found"))</f>
        <v>Permitting</v>
      </c>
      <c r="F13" s="37" t="s">
        <v>254</v>
      </c>
      <c r="G13" s="37" t="s">
        <v>245</v>
      </c>
      <c r="H13" s="37" t="s">
        <v>246</v>
      </c>
      <c r="I13" s="39" t="n">
        <v>0.9</v>
      </c>
      <c r="J13" s="38" t="n">
        <v>46068</v>
      </c>
      <c r="K13" s="40" t="n">
        <f aca="false">IF(J13="","",EDATE(J13,Reference_Data!$AL$5))</f>
        <v>46433</v>
      </c>
      <c r="L13" s="37"/>
      <c r="M13" s="12"/>
      <c r="N13" s="41"/>
      <c r="O13" s="37"/>
      <c r="P13" s="31" t="str">
        <f aca="false">IF(O13="","",IFERROR(INDEX(Reference_Data!$J$5:$J$14,MATCH(O13,Reference_Data!$H$5:$H$14,0)),""))</f>
        <v/>
      </c>
      <c r="Q13" s="37" t="s">
        <v>247</v>
      </c>
      <c r="R13" s="38"/>
      <c r="S13" s="12"/>
      <c r="T13" s="40" t="str">
        <f aca="false">IF(R13="","",R13+Reference_Data!$AL$6)</f>
        <v/>
      </c>
      <c r="U13" s="31" t="str">
        <f aca="true">IF(C13="","",IF(Q13="Yes","Decertification Record",IF(J13="","—",IF(COUNTIFS($C$5:$C$304,C13,$F$5:$F$304,F13,$J$5:$J$304,"&gt;"&amp;J13)&gt;0,"Superseded",IF(COUNTIFS($C$5:$C$304,C13,$F$5:$F$304,F13,$R$5:$R$304,"&gt;="&amp;J13)&gt;0,"Decertified",IF(K13&lt;TODAY(),"Expired","Active"))))))</f>
        <v>Active</v>
      </c>
      <c r="V13" s="37" t="s">
        <v>255</v>
      </c>
      <c r="W13" s="12"/>
    </row>
    <row r="14" customFormat="false" ht="15" hidden="false" customHeight="false" outlineLevel="0" collapsed="false">
      <c r="A14" s="37" t="s">
        <v>273</v>
      </c>
      <c r="B14" s="38" t="n">
        <v>46091</v>
      </c>
      <c r="C14" s="37" t="s">
        <v>243</v>
      </c>
      <c r="D14" s="31" t="str">
        <f aca="false">IF($C14="","",IFERROR(INDEX(Employee_Master!$B$5:$B$104,MATCH($C14,Employee_Master!$A$5:$A$104,0)),"ID not found"))</f>
        <v>Andrea Villanueva</v>
      </c>
      <c r="E14" s="31" t="str">
        <f aca="false">IF($C14="","",IFERROR(INDEX(Employee_Master!$C$5:$C$104,MATCH($C14,Employee_Master!$A$5:$A$104,0)),"ID not found"))</f>
        <v>Design</v>
      </c>
      <c r="F14" s="37" t="s">
        <v>274</v>
      </c>
      <c r="G14" s="37" t="s">
        <v>245</v>
      </c>
      <c r="H14" s="37" t="s">
        <v>246</v>
      </c>
      <c r="I14" s="39" t="n">
        <v>0.92</v>
      </c>
      <c r="J14" s="38" t="n">
        <v>46091</v>
      </c>
      <c r="K14" s="40" t="n">
        <f aca="false">IF(J14="","",EDATE(J14,Reference_Data!$AL$5))</f>
        <v>46456</v>
      </c>
      <c r="L14" s="37"/>
      <c r="M14" s="12"/>
      <c r="N14" s="41"/>
      <c r="O14" s="37"/>
      <c r="P14" s="31" t="str">
        <f aca="false">IF(O14="","",IFERROR(INDEX(Reference_Data!$J$5:$J$14,MATCH(O14,Reference_Data!$H$5:$H$14,0)),""))</f>
        <v/>
      </c>
      <c r="Q14" s="37" t="s">
        <v>247</v>
      </c>
      <c r="R14" s="38"/>
      <c r="S14" s="12"/>
      <c r="T14" s="40" t="str">
        <f aca="false">IF(R14="","",R14+Reference_Data!$AL$6)</f>
        <v/>
      </c>
      <c r="U14" s="31" t="str">
        <f aca="true">IF(C14="","",IF(Q14="Yes","Decertification Record",IF(J14="","—",IF(COUNTIFS($C$5:$C$304,C14,$F$5:$F$304,F14,$J$5:$J$304,"&gt;"&amp;J14)&gt;0,"Superseded",IF(COUNTIFS($C$5:$C$304,C14,$F$5:$F$304,F14,$R$5:$R$304,"&gt;="&amp;J14)&gt;0,"Decertified",IF(K14&lt;TODAY(),"Expired","Active"))))))</f>
        <v>Active</v>
      </c>
      <c r="V14" s="37" t="s">
        <v>248</v>
      </c>
      <c r="W14" s="12"/>
    </row>
    <row r="15" customFormat="false" ht="23.85" hidden="false" customHeight="false" outlineLevel="0" collapsed="false">
      <c r="A15" s="37" t="s">
        <v>275</v>
      </c>
      <c r="B15" s="38" t="n">
        <v>46120</v>
      </c>
      <c r="C15" s="37" t="s">
        <v>250</v>
      </c>
      <c r="D15" s="31" t="str">
        <f aca="false">IF($C15="","",IFERROR(INDEX(Employee_Master!$B$5:$B$104,MATCH($C15,Employee_Master!$A$5:$A$104,0)),"ID not found"))</f>
        <v>Carlo Mendoza</v>
      </c>
      <c r="E15" s="31" t="str">
        <f aca="false">IF($C15="","",IFERROR(INDEX(Employee_Master!$C$5:$C$104,MATCH($C15,Employee_Master!$A$5:$A$104,0)),"ID not found"))</f>
        <v>Design</v>
      </c>
      <c r="F15" s="37" t="s">
        <v>244</v>
      </c>
      <c r="G15" s="37" t="s">
        <v>276</v>
      </c>
      <c r="H15" s="37"/>
      <c r="I15" s="39"/>
      <c r="J15" s="38"/>
      <c r="K15" s="40" t="str">
        <f aca="false">IF(J15="","",EDATE(J15,Reference_Data!$AL$5))</f>
        <v/>
      </c>
      <c r="L15" s="37" t="s">
        <v>277</v>
      </c>
      <c r="M15" s="12" t="s">
        <v>278</v>
      </c>
      <c r="N15" s="41" t="n">
        <v>3500</v>
      </c>
      <c r="O15" s="37" t="s">
        <v>279</v>
      </c>
      <c r="P15" s="31" t="str">
        <f aca="false">IF(O15="","",IFERROR(INDEX(Reference_Data!$J$5:$J$14,MATCH(O15,Reference_Data!$H$5:$H$14,0)),""))</f>
        <v>Coaching Session</v>
      </c>
      <c r="Q15" s="37" t="s">
        <v>247</v>
      </c>
      <c r="R15" s="38"/>
      <c r="S15" s="12"/>
      <c r="T15" s="40" t="str">
        <f aca="false">IF(R15="","",R15+Reference_Data!$AL$6)</f>
        <v/>
      </c>
      <c r="U15" s="31" t="str">
        <f aca="true">IF(C15="","",IF(Q15="Yes","Decertification Record",IF(J15="","—",IF(COUNTIFS($C$5:$C$304,C15,$F$5:$F$304,F15,$J$5:$J$304,"&gt;"&amp;J15)&gt;0,"Superseded",IF(COUNTIFS($C$5:$C$304,C15,$F$5:$F$304,F15,$R$5:$R$304,"&gt;="&amp;J15)&gt;0,"Decertified",IF(K15&lt;TODAY(),"Expired","Active"))))))</f>
        <v>—</v>
      </c>
      <c r="V15" s="37" t="s">
        <v>266</v>
      </c>
      <c r="W15" s="12" t="s">
        <v>280</v>
      </c>
    </row>
    <row r="16" customFormat="false" ht="23.85" hidden="false" customHeight="false" outlineLevel="0" collapsed="false">
      <c r="A16" s="37" t="s">
        <v>281</v>
      </c>
      <c r="B16" s="38" t="n">
        <v>46154</v>
      </c>
      <c r="C16" s="37" t="s">
        <v>270</v>
      </c>
      <c r="D16" s="31" t="str">
        <f aca="false">IF($C16="","",IFERROR(INDEX(Employee_Master!$B$5:$B$104,MATCH($C16,Employee_Master!$A$5:$A$104,0)),"ID not found"))</f>
        <v>Jomar Dela Cruz</v>
      </c>
      <c r="E16" s="31" t="str">
        <f aca="false">IF($C16="","",IFERROR(INDEX(Employee_Master!$C$5:$C$104,MATCH($C16,Employee_Master!$A$5:$A$104,0)),"ID not found"))</f>
        <v>Design</v>
      </c>
      <c r="F16" s="37" t="s">
        <v>244</v>
      </c>
      <c r="G16" s="37" t="s">
        <v>276</v>
      </c>
      <c r="H16" s="37"/>
      <c r="I16" s="39"/>
      <c r="J16" s="38"/>
      <c r="K16" s="40" t="str">
        <f aca="false">IF(J16="","",EDATE(J16,Reference_Data!$AL$5))</f>
        <v/>
      </c>
      <c r="L16" s="37" t="s">
        <v>282</v>
      </c>
      <c r="M16" s="12" t="s">
        <v>283</v>
      </c>
      <c r="N16" s="41" t="n">
        <v>12000</v>
      </c>
      <c r="O16" s="37" t="s">
        <v>284</v>
      </c>
      <c r="P16" s="31" t="str">
        <f aca="false">IF(O16="","",IFERROR(INDEX(Reference_Data!$J$5:$J$14,MATCH(O16,Reference_Data!$H$5:$H$14,0)),""))</f>
        <v>Written Warning + Retraining</v>
      </c>
      <c r="Q16" s="37" t="s">
        <v>247</v>
      </c>
      <c r="R16" s="38"/>
      <c r="S16" s="12"/>
      <c r="T16" s="40" t="str">
        <f aca="false">IF(R16="","",R16+Reference_Data!$AL$6)</f>
        <v/>
      </c>
      <c r="U16" s="31" t="str">
        <f aca="true">IF(C16="","",IF(Q16="Yes","Decertification Record",IF(J16="","—",IF(COUNTIFS($C$5:$C$304,C16,$F$5:$F$304,F16,$J$5:$J$304,"&gt;"&amp;J16)&gt;0,"Superseded",IF(COUNTIFS($C$5:$C$304,C16,$F$5:$F$304,F16,$R$5:$R$304,"&gt;="&amp;J16)&gt;0,"Decertified",IF(K16&lt;TODAY(),"Expired","Active"))))))</f>
        <v>—</v>
      </c>
      <c r="V16" s="37" t="s">
        <v>266</v>
      </c>
      <c r="W16" s="12" t="s">
        <v>285</v>
      </c>
    </row>
    <row r="17" customFormat="false" ht="23.85" hidden="false" customHeight="false" outlineLevel="0" collapsed="false">
      <c r="A17" s="37" t="s">
        <v>286</v>
      </c>
      <c r="B17" s="38" t="n">
        <v>46193</v>
      </c>
      <c r="C17" s="37" t="s">
        <v>270</v>
      </c>
      <c r="D17" s="31" t="str">
        <f aca="false">IF($C17="","",IFERROR(INDEX(Employee_Master!$B$5:$B$104,MATCH($C17,Employee_Master!$A$5:$A$104,0)),"ID not found"))</f>
        <v>Jomar Dela Cruz</v>
      </c>
      <c r="E17" s="31" t="str">
        <f aca="false">IF($C17="","",IFERROR(INDEX(Employee_Master!$C$5:$C$104,MATCH($C17,Employee_Master!$A$5:$A$104,0)),"ID not found"))</f>
        <v>Design</v>
      </c>
      <c r="F17" s="37" t="s">
        <v>244</v>
      </c>
      <c r="G17" s="37" t="s">
        <v>287</v>
      </c>
      <c r="H17" s="37"/>
      <c r="I17" s="39"/>
      <c r="J17" s="38"/>
      <c r="K17" s="40" t="str">
        <f aca="false">IF(J17="","",EDATE(J17,Reference_Data!$AL$5))</f>
        <v/>
      </c>
      <c r="L17" s="37" t="s">
        <v>282</v>
      </c>
      <c r="M17" s="12" t="s">
        <v>288</v>
      </c>
      <c r="N17" s="41" t="n">
        <v>45000</v>
      </c>
      <c r="O17" s="37" t="s">
        <v>197</v>
      </c>
      <c r="P17" s="31" t="str">
        <f aca="false">IF(O17="","",IFERROR(INDEX(Reference_Data!$J$5:$J$14,MATCH(O17,Reference_Data!$H$5:$H$14,0)),""))</f>
        <v>Decertification Review / Final Written Warning</v>
      </c>
      <c r="Q17" s="37" t="s">
        <v>289</v>
      </c>
      <c r="R17" s="38" t="n">
        <v>46198</v>
      </c>
      <c r="S17" s="12" t="s">
        <v>290</v>
      </c>
      <c r="T17" s="40" t="n">
        <f aca="false">IF(R17="","",R17+Reference_Data!$AL$6)</f>
        <v>46228</v>
      </c>
      <c r="U17" s="31" t="str">
        <f aca="true">IF(C17="","",IF(Q17="Yes","Decertification Record",IF(J17="","—",IF(COUNTIFS($C$5:$C$304,C17,$F$5:$F$304,F17,$J$5:$J$304,"&gt;"&amp;J17)&gt;0,"Superseded",IF(COUNTIFS($C$5:$C$304,C17,$F$5:$F$304,F17,$R$5:$R$304,"&gt;="&amp;J17)&gt;0,"Decertified",IF(K17&lt;TODAY(),"Expired","Active"))))))</f>
        <v>Decertification Record</v>
      </c>
      <c r="V17" s="37" t="s">
        <v>248</v>
      </c>
      <c r="W17" s="12" t="s">
        <v>291</v>
      </c>
    </row>
    <row r="18" customFormat="false" ht="23.85" hidden="false" customHeight="false" outlineLevel="0" collapsed="false">
      <c r="A18" s="37" t="s">
        <v>292</v>
      </c>
      <c r="B18" s="38" t="n">
        <v>46223</v>
      </c>
      <c r="C18" s="37" t="s">
        <v>270</v>
      </c>
      <c r="D18" s="31" t="str">
        <f aca="false">IF($C18="","",IFERROR(INDEX(Employee_Master!$B$5:$B$104,MATCH($C18,Employee_Master!$A$5:$A$104,0)),"ID not found"))</f>
        <v>Jomar Dela Cruz</v>
      </c>
      <c r="E18" s="31" t="str">
        <f aca="false">IF($C18="","",IFERROR(INDEX(Employee_Master!$C$5:$C$104,MATCH($C18,Employee_Master!$A$5:$A$104,0)),"ID not found"))</f>
        <v>Design</v>
      </c>
      <c r="F18" s="37" t="s">
        <v>244</v>
      </c>
      <c r="G18" s="37" t="s">
        <v>293</v>
      </c>
      <c r="H18" s="37" t="s">
        <v>251</v>
      </c>
      <c r="I18" s="39" t="n">
        <v>0.88</v>
      </c>
      <c r="J18" s="38" t="n">
        <v>46223</v>
      </c>
      <c r="K18" s="40" t="n">
        <f aca="false">IF(J18="","",EDATE(J18,Reference_Data!$AL$5))</f>
        <v>46588</v>
      </c>
      <c r="L18" s="37"/>
      <c r="M18" s="12"/>
      <c r="N18" s="41"/>
      <c r="O18" s="37"/>
      <c r="P18" s="31" t="str">
        <f aca="false">IF(O18="","",IFERROR(INDEX(Reference_Data!$J$5:$J$14,MATCH(O18,Reference_Data!$H$5:$H$14,0)),""))</f>
        <v/>
      </c>
      <c r="Q18" s="37" t="s">
        <v>247</v>
      </c>
      <c r="R18" s="38"/>
      <c r="S18" s="12"/>
      <c r="T18" s="40" t="str">
        <f aca="false">IF(R18="","",R18+Reference_Data!$AL$6)</f>
        <v/>
      </c>
      <c r="U18" s="31" t="str">
        <f aca="true">IF(C18="","",IF(Q18="Yes","Decertification Record",IF(J18="","—",IF(COUNTIFS($C$5:$C$304,C18,$F$5:$F$304,F18,$J$5:$J$304,"&gt;"&amp;J18)&gt;0,"Superseded",IF(COUNTIFS($C$5:$C$304,C18,$F$5:$F$304,F18,$R$5:$R$304,"&gt;="&amp;J18)&gt;0,"Decertified",IF(K18&lt;TODAY(),"Expired","Active"))))))</f>
        <v>Active</v>
      </c>
      <c r="V18" s="37" t="s">
        <v>248</v>
      </c>
      <c r="W18" s="12" t="s">
        <v>294</v>
      </c>
    </row>
    <row r="19" customFormat="false" ht="23.85" hidden="false" customHeight="false" outlineLevel="0" collapsed="false">
      <c r="A19" s="37" t="s">
        <v>295</v>
      </c>
      <c r="B19" s="38" t="n">
        <v>46127</v>
      </c>
      <c r="C19" s="37" t="s">
        <v>261</v>
      </c>
      <c r="D19" s="31" t="str">
        <f aca="false">IF($C19="","",IFERROR(INDEX(Employee_Master!$B$5:$B$104,MATCH($C19,Employee_Master!$A$5:$A$104,0)),"ID not found"))</f>
        <v>Francis Aquino</v>
      </c>
      <c r="E19" s="31" t="str">
        <f aca="false">IF($C19="","",IFERROR(INDEX(Employee_Master!$C$5:$C$104,MATCH($C19,Employee_Master!$A$5:$A$104,0)),"ID not found"))</f>
        <v>Interconnection</v>
      </c>
      <c r="F19" s="37" t="s">
        <v>259</v>
      </c>
      <c r="G19" s="37" t="s">
        <v>276</v>
      </c>
      <c r="H19" s="37"/>
      <c r="I19" s="39"/>
      <c r="J19" s="38"/>
      <c r="K19" s="40" t="str">
        <f aca="false">IF(J19="","",EDATE(J19,Reference_Data!$AL$5))</f>
        <v/>
      </c>
      <c r="L19" s="37" t="s">
        <v>277</v>
      </c>
      <c r="M19" s="12" t="s">
        <v>296</v>
      </c>
      <c r="N19" s="41" t="n">
        <v>2500</v>
      </c>
      <c r="O19" s="37" t="s">
        <v>279</v>
      </c>
      <c r="P19" s="31" t="str">
        <f aca="false">IF(O19="","",IFERROR(INDEX(Reference_Data!$J$5:$J$14,MATCH(O19,Reference_Data!$H$5:$H$14,0)),""))</f>
        <v>Coaching Session</v>
      </c>
      <c r="Q19" s="37" t="s">
        <v>247</v>
      </c>
      <c r="R19" s="38"/>
      <c r="S19" s="12"/>
      <c r="T19" s="40" t="str">
        <f aca="false">IF(R19="","",R19+Reference_Data!$AL$6)</f>
        <v/>
      </c>
      <c r="U19" s="31" t="str">
        <f aca="true">IF(C19="","",IF(Q19="Yes","Decertification Record",IF(J19="","—",IF(COUNTIFS($C$5:$C$304,C19,$F$5:$F$304,F19,$J$5:$J$304,"&gt;"&amp;J19)&gt;0,"Superseded",IF(COUNTIFS($C$5:$C$304,C19,$F$5:$F$304,F19,$R$5:$R$304,"&gt;="&amp;J19)&gt;0,"Decertified",IF(K19&lt;TODAY(),"Expired","Active"))))))</f>
        <v>—</v>
      </c>
      <c r="V19" s="37" t="s">
        <v>255</v>
      </c>
      <c r="W19" s="12" t="s">
        <v>297</v>
      </c>
    </row>
    <row r="20" customFormat="false" ht="15" hidden="false" customHeight="false" outlineLevel="0" collapsed="false">
      <c r="A20" s="37" t="s">
        <v>298</v>
      </c>
      <c r="B20" s="38" t="n">
        <v>46147</v>
      </c>
      <c r="C20" s="37" t="s">
        <v>263</v>
      </c>
      <c r="D20" s="31" t="str">
        <f aca="false">IF($C20="","",IFERROR(INDEX(Employee_Master!$B$5:$B$104,MATCH($C20,Employee_Master!$A$5:$A$104,0)),"ID not found"))</f>
        <v>Grace Bautista</v>
      </c>
      <c r="E20" s="31" t="str">
        <f aca="false">IF($C20="","",IFERROR(INDEX(Employee_Master!$C$5:$C$104,MATCH($C20,Employee_Master!$A$5:$A$104,0)),"ID not found"))</f>
        <v>Quality Assurance</v>
      </c>
      <c r="F20" s="37" t="s">
        <v>264</v>
      </c>
      <c r="G20" s="37" t="s">
        <v>299</v>
      </c>
      <c r="H20" s="37"/>
      <c r="I20" s="39"/>
      <c r="J20" s="38"/>
      <c r="K20" s="40" t="str">
        <f aca="false">IF(J20="","",EDATE(J20,Reference_Data!$AL$5))</f>
        <v/>
      </c>
      <c r="L20" s="37" t="s">
        <v>300</v>
      </c>
      <c r="M20" s="12" t="s">
        <v>301</v>
      </c>
      <c r="N20" s="41" t="n">
        <v>1500</v>
      </c>
      <c r="O20" s="37"/>
      <c r="P20" s="31" t="str">
        <f aca="false">IF(O20="","",IFERROR(INDEX(Reference_Data!$J$5:$J$14,MATCH(O20,Reference_Data!$H$5:$H$14,0)),""))</f>
        <v/>
      </c>
      <c r="Q20" s="37" t="s">
        <v>247</v>
      </c>
      <c r="R20" s="38"/>
      <c r="S20" s="12"/>
      <c r="T20" s="40" t="str">
        <f aca="false">IF(R20="","",R20+Reference_Data!$AL$6)</f>
        <v/>
      </c>
      <c r="U20" s="31" t="str">
        <f aca="true">IF(C20="","",IF(Q20="Yes","Decertification Record",IF(J20="","—",IF(COUNTIFS($C$5:$C$304,C20,$F$5:$F$304,F20,$J$5:$J$304,"&gt;"&amp;J20)&gt;0,"Superseded",IF(COUNTIFS($C$5:$C$304,C20,$F$5:$F$304,F20,$R$5:$R$304,"&gt;="&amp;J20)&gt;0,"Decertified",IF(K20&lt;TODAY(),"Expired","Active"))))))</f>
        <v>—</v>
      </c>
      <c r="V20" s="37" t="s">
        <v>266</v>
      </c>
      <c r="W20" s="12"/>
    </row>
    <row r="21" customFormat="false" ht="23.85" hidden="false" customHeight="false" outlineLevel="0" collapsed="false">
      <c r="A21" s="37" t="s">
        <v>302</v>
      </c>
      <c r="B21" s="38" t="n">
        <v>46099</v>
      </c>
      <c r="C21" s="37" t="s">
        <v>268</v>
      </c>
      <c r="D21" s="31" t="str">
        <f aca="false">IF($C21="","",IFERROR(INDEX(Employee_Master!$B$5:$B$104,MATCH($C21,Employee_Master!$A$5:$A$104,0)),"ID not found"))</f>
        <v>Hector Lim</v>
      </c>
      <c r="E21" s="31" t="str">
        <f aca="false">IF($C21="","",IFERROR(INDEX(Employee_Master!$C$5:$C$104,MATCH($C21,Employee_Master!$A$5:$A$104,0)),"ID not found"))</f>
        <v>Quality Assurance</v>
      </c>
      <c r="F21" s="37" t="s">
        <v>264</v>
      </c>
      <c r="G21" s="37" t="s">
        <v>299</v>
      </c>
      <c r="H21" s="37"/>
      <c r="I21" s="39"/>
      <c r="J21" s="38"/>
      <c r="K21" s="40" t="str">
        <f aca="false">IF(J21="","",EDATE(J21,Reference_Data!$AL$5))</f>
        <v/>
      </c>
      <c r="L21" s="37" t="s">
        <v>303</v>
      </c>
      <c r="M21" s="12" t="s">
        <v>304</v>
      </c>
      <c r="N21" s="41" t="n">
        <v>8000</v>
      </c>
      <c r="O21" s="37"/>
      <c r="P21" s="31" t="str">
        <f aca="false">IF(O21="","",IFERROR(INDEX(Reference_Data!$J$5:$J$14,MATCH(O21,Reference_Data!$H$5:$H$14,0)),""))</f>
        <v/>
      </c>
      <c r="Q21" s="37" t="s">
        <v>247</v>
      </c>
      <c r="R21" s="38"/>
      <c r="S21" s="12"/>
      <c r="T21" s="40" t="str">
        <f aca="false">IF(R21="","",R21+Reference_Data!$AL$6)</f>
        <v/>
      </c>
      <c r="U21" s="31" t="str">
        <f aca="true">IF(C21="","",IF(Q21="Yes","Decertification Record",IF(J21="","—",IF(COUNTIFS($C$5:$C$304,C21,$F$5:$F$304,F21,$J$5:$J$304,"&gt;"&amp;J21)&gt;0,"Superseded",IF(COUNTIFS($C$5:$C$304,C21,$F$5:$F$304,F21,$R$5:$R$304,"&gt;="&amp;J21)&gt;0,"Decertified",IF(K21&lt;TODAY(),"Expired","Active"))))))</f>
        <v>—</v>
      </c>
      <c r="V21" s="37" t="s">
        <v>266</v>
      </c>
      <c r="W21" s="12"/>
    </row>
    <row r="22" customFormat="false" ht="15" hidden="false" customHeight="false" outlineLevel="0" collapsed="false">
      <c r="A22" s="37" t="s">
        <v>305</v>
      </c>
      <c r="B22" s="38" t="n">
        <v>46236</v>
      </c>
      <c r="C22" s="37" t="s">
        <v>250</v>
      </c>
      <c r="D22" s="31" t="str">
        <f aca="false">IF($C22="","",IFERROR(INDEX(Employee_Master!$B$5:$B$104,MATCH($C22,Employee_Master!$A$5:$A$104,0)),"ID not found"))</f>
        <v>Carlo Mendoza</v>
      </c>
      <c r="E22" s="31" t="str">
        <f aca="false">IF($C22="","",IFERROR(INDEX(Employee_Master!$C$5:$C$104,MATCH($C22,Employee_Master!$A$5:$A$104,0)),"ID not found"))</f>
        <v>Design</v>
      </c>
      <c r="F22" s="37" t="s">
        <v>244</v>
      </c>
      <c r="G22" s="37" t="s">
        <v>306</v>
      </c>
      <c r="H22" s="37" t="s">
        <v>246</v>
      </c>
      <c r="I22" s="39" t="n">
        <v>0.92</v>
      </c>
      <c r="J22" s="38" t="n">
        <v>46236</v>
      </c>
      <c r="K22" s="40" t="n">
        <f aca="false">IF(J22="","",EDATE(J22,Reference_Data!$AL$5))</f>
        <v>46601</v>
      </c>
      <c r="L22" s="37"/>
      <c r="M22" s="12"/>
      <c r="N22" s="41"/>
      <c r="O22" s="37"/>
      <c r="P22" s="31" t="str">
        <f aca="false">IF(O22="","",IFERROR(INDEX(Reference_Data!$J$5:$J$14,MATCH(O22,Reference_Data!$H$5:$H$14,0)),""))</f>
        <v/>
      </c>
      <c r="Q22" s="37" t="s">
        <v>247</v>
      </c>
      <c r="R22" s="38"/>
      <c r="S22" s="12"/>
      <c r="T22" s="40" t="str">
        <f aca="false">IF(R22="","",R22+Reference_Data!$AL$6)</f>
        <v/>
      </c>
      <c r="U22" s="31" t="str">
        <f aca="true">IF(C22="","",IF(Q22="Yes","Decertification Record",IF(J22="","—",IF(COUNTIFS($C$5:$C$304,C22,$F$5:$F$304,F22,$J$5:$J$304,"&gt;"&amp;J22)&gt;0,"Superseded",IF(COUNTIFS($C$5:$C$304,C22,$F$5:$F$304,F22,$R$5:$R$304,"&gt;="&amp;J22)&gt;0,"Decertified",IF(K22&lt;TODAY(),"Expired","Active"))))))</f>
        <v>Active</v>
      </c>
      <c r="V22" s="37" t="s">
        <v>248</v>
      </c>
      <c r="W22" s="12" t="s">
        <v>307</v>
      </c>
    </row>
    <row r="23" customFormat="false" ht="23.85" hidden="false" customHeight="false" outlineLevel="0" collapsed="false">
      <c r="A23" s="37" t="s">
        <v>308</v>
      </c>
      <c r="B23" s="38" t="n">
        <v>46259</v>
      </c>
      <c r="C23" s="37" t="s">
        <v>272</v>
      </c>
      <c r="D23" s="31" t="str">
        <f aca="false">IF($C23="","",IFERROR(INDEX(Employee_Master!$B$5:$B$104,MATCH($C23,Employee_Master!$A$5:$A$104,0)),"ID not found"))</f>
        <v>Daniel Reyes</v>
      </c>
      <c r="E23" s="31" t="str">
        <f aca="false">IF($C23="","",IFERROR(INDEX(Employee_Master!$C$5:$C$104,MATCH($C23,Employee_Master!$A$5:$A$104,0)),"ID not found"))</f>
        <v>Permitting</v>
      </c>
      <c r="F23" s="37" t="s">
        <v>254</v>
      </c>
      <c r="G23" s="37" t="s">
        <v>276</v>
      </c>
      <c r="H23" s="37"/>
      <c r="I23" s="39"/>
      <c r="J23" s="38"/>
      <c r="K23" s="40" t="str">
        <f aca="false">IF(J23="","",EDATE(J23,Reference_Data!$AL$5))</f>
        <v/>
      </c>
      <c r="L23" s="37" t="s">
        <v>282</v>
      </c>
      <c r="M23" s="12" t="s">
        <v>309</v>
      </c>
      <c r="N23" s="41" t="n">
        <v>9500</v>
      </c>
      <c r="O23" s="37" t="s">
        <v>284</v>
      </c>
      <c r="P23" s="31" t="str">
        <f aca="false">IF(O23="","",IFERROR(INDEX(Reference_Data!$J$5:$J$14,MATCH(O23,Reference_Data!$H$5:$H$14,0)),""))</f>
        <v>Written Warning + Retraining</v>
      </c>
      <c r="Q23" s="37" t="s">
        <v>247</v>
      </c>
      <c r="R23" s="38"/>
      <c r="S23" s="12"/>
      <c r="T23" s="40" t="str">
        <f aca="false">IF(R23="","",R23+Reference_Data!$AL$6)</f>
        <v/>
      </c>
      <c r="U23" s="31" t="str">
        <f aca="true">IF(C23="","",IF(Q23="Yes","Decertification Record",IF(J23="","—",IF(COUNTIFS($C$5:$C$304,C23,$F$5:$F$304,F23,$J$5:$J$304,"&gt;"&amp;J23)&gt;0,"Superseded",IF(COUNTIFS($C$5:$C$304,C23,$F$5:$F$304,F23,$R$5:$R$304,"&gt;="&amp;J23)&gt;0,"Decertified",IF(K23&lt;TODAY(),"Expired","Active"))))))</f>
        <v>—</v>
      </c>
      <c r="V23" s="37" t="s">
        <v>255</v>
      </c>
      <c r="W23" s="12" t="s">
        <v>310</v>
      </c>
    </row>
    <row r="24" customFormat="false" ht="15" hidden="false" customHeight="false" outlineLevel="0" collapsed="false">
      <c r="A24" s="37"/>
      <c r="B24" s="38"/>
      <c r="C24" s="37"/>
      <c r="D24" s="31" t="str">
        <f aca="false">IF($C24="","",IFERROR(INDEX(Employee_Master!$B$5:$B$104,MATCH($C24,Employee_Master!$A$5:$A$104,0)),"ID not found"))</f>
        <v/>
      </c>
      <c r="E24" s="31" t="str">
        <f aca="false">IF($C24="","",IFERROR(INDEX(Employee_Master!$C$5:$C$104,MATCH($C24,Employee_Master!$A$5:$A$104,0)),"ID not found"))</f>
        <v/>
      </c>
      <c r="F24" s="37"/>
      <c r="G24" s="37"/>
      <c r="H24" s="37"/>
      <c r="I24" s="39"/>
      <c r="J24" s="38"/>
      <c r="K24" s="40" t="str">
        <f aca="false">IF(J24="","",EDATE(J24,Reference_Data!$AL$5))</f>
        <v/>
      </c>
      <c r="L24" s="37"/>
      <c r="M24" s="12"/>
      <c r="N24" s="41"/>
      <c r="O24" s="37"/>
      <c r="P24" s="31" t="str">
        <f aca="false">IF(O24="","",IFERROR(INDEX(Reference_Data!$J$5:$J$14,MATCH(O24,Reference_Data!$H$5:$H$14,0)),""))</f>
        <v/>
      </c>
      <c r="Q24" s="37"/>
      <c r="R24" s="38"/>
      <c r="S24" s="12"/>
      <c r="T24" s="40" t="str">
        <f aca="false">IF(R24="","",R24+Reference_Data!$AL$6)</f>
        <v/>
      </c>
      <c r="U24" s="31" t="str">
        <f aca="true">IF(C24="","",IF(Q24="Yes","Decertification Record",IF(J24="","—",IF(COUNTIFS($C$5:$C$304,C24,$F$5:$F$304,F24,$J$5:$J$304,"&gt;"&amp;J24)&gt;0,"Superseded",IF(COUNTIFS($C$5:$C$304,C24,$F$5:$F$304,F24,$R$5:$R$304,"&gt;="&amp;J24)&gt;0,"Decertified",IF(K24&lt;TODAY(),"Expired","Active"))))))</f>
        <v/>
      </c>
      <c r="V24" s="37"/>
      <c r="W24" s="12"/>
    </row>
    <row r="25" customFormat="false" ht="15" hidden="false" customHeight="false" outlineLevel="0" collapsed="false">
      <c r="A25" s="37"/>
      <c r="B25" s="38"/>
      <c r="C25" s="37"/>
      <c r="D25" s="31" t="str">
        <f aca="false">IF($C25="","",IFERROR(INDEX(Employee_Master!$B$5:$B$104,MATCH($C25,Employee_Master!$A$5:$A$104,0)),"ID not found"))</f>
        <v/>
      </c>
      <c r="E25" s="31" t="str">
        <f aca="false">IF($C25="","",IFERROR(INDEX(Employee_Master!$C$5:$C$104,MATCH($C25,Employee_Master!$A$5:$A$104,0)),"ID not found"))</f>
        <v/>
      </c>
      <c r="F25" s="37"/>
      <c r="G25" s="37"/>
      <c r="H25" s="37"/>
      <c r="I25" s="39"/>
      <c r="J25" s="38"/>
      <c r="K25" s="40" t="str">
        <f aca="false">IF(J25="","",EDATE(J25,Reference_Data!$AL$5))</f>
        <v/>
      </c>
      <c r="L25" s="37"/>
      <c r="M25" s="12"/>
      <c r="N25" s="41"/>
      <c r="O25" s="37"/>
      <c r="P25" s="31" t="str">
        <f aca="false">IF(O25="","",IFERROR(INDEX(Reference_Data!$J$5:$J$14,MATCH(O25,Reference_Data!$H$5:$H$14,0)),""))</f>
        <v/>
      </c>
      <c r="Q25" s="37"/>
      <c r="R25" s="38"/>
      <c r="S25" s="12"/>
      <c r="T25" s="40" t="str">
        <f aca="false">IF(R25="","",R25+Reference_Data!$AL$6)</f>
        <v/>
      </c>
      <c r="U25" s="31" t="str">
        <f aca="true">IF(C25="","",IF(Q25="Yes","Decertification Record",IF(J25="","—",IF(COUNTIFS($C$5:$C$304,C25,$F$5:$F$304,F25,$J$5:$J$304,"&gt;"&amp;J25)&gt;0,"Superseded",IF(COUNTIFS($C$5:$C$304,C25,$F$5:$F$304,F25,$R$5:$R$304,"&gt;="&amp;J25)&gt;0,"Decertified",IF(K25&lt;TODAY(),"Expired","Active"))))))</f>
        <v/>
      </c>
      <c r="V25" s="37"/>
      <c r="W25" s="12"/>
    </row>
    <row r="26" customFormat="false" ht="15" hidden="false" customHeight="false" outlineLevel="0" collapsed="false">
      <c r="A26" s="37"/>
      <c r="B26" s="38"/>
      <c r="C26" s="37"/>
      <c r="D26" s="31" t="str">
        <f aca="false">IF($C26="","",IFERROR(INDEX(Employee_Master!$B$5:$B$104,MATCH($C26,Employee_Master!$A$5:$A$104,0)),"ID not found"))</f>
        <v/>
      </c>
      <c r="E26" s="31" t="str">
        <f aca="false">IF($C26="","",IFERROR(INDEX(Employee_Master!$C$5:$C$104,MATCH($C26,Employee_Master!$A$5:$A$104,0)),"ID not found"))</f>
        <v/>
      </c>
      <c r="F26" s="37"/>
      <c r="G26" s="37"/>
      <c r="H26" s="37"/>
      <c r="I26" s="39"/>
      <c r="J26" s="38"/>
      <c r="K26" s="40" t="str">
        <f aca="false">IF(J26="","",EDATE(J26,Reference_Data!$AL$5))</f>
        <v/>
      </c>
      <c r="L26" s="37"/>
      <c r="M26" s="12"/>
      <c r="N26" s="41"/>
      <c r="O26" s="37"/>
      <c r="P26" s="31" t="str">
        <f aca="false">IF(O26="","",IFERROR(INDEX(Reference_Data!$J$5:$J$14,MATCH(O26,Reference_Data!$H$5:$H$14,0)),""))</f>
        <v/>
      </c>
      <c r="Q26" s="37"/>
      <c r="R26" s="38"/>
      <c r="S26" s="12"/>
      <c r="T26" s="40" t="str">
        <f aca="false">IF(R26="","",R26+Reference_Data!$AL$6)</f>
        <v/>
      </c>
      <c r="U26" s="31" t="str">
        <f aca="true">IF(C26="","",IF(Q26="Yes","Decertification Record",IF(J26="","—",IF(COUNTIFS($C$5:$C$304,C26,$F$5:$F$304,F26,$J$5:$J$304,"&gt;"&amp;J26)&gt;0,"Superseded",IF(COUNTIFS($C$5:$C$304,C26,$F$5:$F$304,F26,$R$5:$R$304,"&gt;="&amp;J26)&gt;0,"Decertified",IF(K26&lt;TODAY(),"Expired","Active"))))))</f>
        <v/>
      </c>
      <c r="V26" s="37"/>
      <c r="W26" s="12"/>
    </row>
    <row r="27" customFormat="false" ht="15" hidden="false" customHeight="false" outlineLevel="0" collapsed="false">
      <c r="A27" s="37"/>
      <c r="B27" s="38"/>
      <c r="C27" s="37"/>
      <c r="D27" s="31" t="str">
        <f aca="false">IF($C27="","",IFERROR(INDEX(Employee_Master!$B$5:$B$104,MATCH($C27,Employee_Master!$A$5:$A$104,0)),"ID not found"))</f>
        <v/>
      </c>
      <c r="E27" s="31" t="str">
        <f aca="false">IF($C27="","",IFERROR(INDEX(Employee_Master!$C$5:$C$104,MATCH($C27,Employee_Master!$A$5:$A$104,0)),"ID not found"))</f>
        <v/>
      </c>
      <c r="F27" s="37"/>
      <c r="G27" s="37"/>
      <c r="H27" s="37"/>
      <c r="I27" s="39"/>
      <c r="J27" s="38"/>
      <c r="K27" s="40" t="str">
        <f aca="false">IF(J27="","",EDATE(J27,Reference_Data!$AL$5))</f>
        <v/>
      </c>
      <c r="L27" s="37"/>
      <c r="M27" s="12"/>
      <c r="N27" s="41"/>
      <c r="O27" s="37"/>
      <c r="P27" s="31" t="str">
        <f aca="false">IF(O27="","",IFERROR(INDEX(Reference_Data!$J$5:$J$14,MATCH(O27,Reference_Data!$H$5:$H$14,0)),""))</f>
        <v/>
      </c>
      <c r="Q27" s="37"/>
      <c r="R27" s="38"/>
      <c r="S27" s="12"/>
      <c r="T27" s="40" t="str">
        <f aca="false">IF(R27="","",R27+Reference_Data!$AL$6)</f>
        <v/>
      </c>
      <c r="U27" s="31" t="str">
        <f aca="true">IF(C27="","",IF(Q27="Yes","Decertification Record",IF(J27="","—",IF(COUNTIFS($C$5:$C$304,C27,$F$5:$F$304,F27,$J$5:$J$304,"&gt;"&amp;J27)&gt;0,"Superseded",IF(COUNTIFS($C$5:$C$304,C27,$F$5:$F$304,F27,$R$5:$R$304,"&gt;="&amp;J27)&gt;0,"Decertified",IF(K27&lt;TODAY(),"Expired","Active"))))))</f>
        <v/>
      </c>
      <c r="V27" s="37"/>
      <c r="W27" s="12"/>
    </row>
    <row r="28" customFormat="false" ht="15" hidden="false" customHeight="false" outlineLevel="0" collapsed="false">
      <c r="A28" s="37"/>
      <c r="B28" s="38"/>
      <c r="C28" s="37"/>
      <c r="D28" s="31" t="str">
        <f aca="false">IF($C28="","",IFERROR(INDEX(Employee_Master!$B$5:$B$104,MATCH($C28,Employee_Master!$A$5:$A$104,0)),"ID not found"))</f>
        <v/>
      </c>
      <c r="E28" s="31" t="str">
        <f aca="false">IF($C28="","",IFERROR(INDEX(Employee_Master!$C$5:$C$104,MATCH($C28,Employee_Master!$A$5:$A$104,0)),"ID not found"))</f>
        <v/>
      </c>
      <c r="F28" s="37"/>
      <c r="G28" s="37"/>
      <c r="H28" s="37"/>
      <c r="I28" s="39"/>
      <c r="J28" s="38"/>
      <c r="K28" s="40" t="str">
        <f aca="false">IF(J28="","",EDATE(J28,Reference_Data!$AL$5))</f>
        <v/>
      </c>
      <c r="L28" s="37"/>
      <c r="M28" s="12"/>
      <c r="N28" s="41"/>
      <c r="O28" s="37"/>
      <c r="P28" s="31" t="str">
        <f aca="false">IF(O28="","",IFERROR(INDEX(Reference_Data!$J$5:$J$14,MATCH(O28,Reference_Data!$H$5:$H$14,0)),""))</f>
        <v/>
      </c>
      <c r="Q28" s="37"/>
      <c r="R28" s="38"/>
      <c r="S28" s="12"/>
      <c r="T28" s="40" t="str">
        <f aca="false">IF(R28="","",R28+Reference_Data!$AL$6)</f>
        <v/>
      </c>
      <c r="U28" s="31" t="str">
        <f aca="true">IF(C28="","",IF(Q28="Yes","Decertification Record",IF(J28="","—",IF(COUNTIFS($C$5:$C$304,C28,$F$5:$F$304,F28,$J$5:$J$304,"&gt;"&amp;J28)&gt;0,"Superseded",IF(COUNTIFS($C$5:$C$304,C28,$F$5:$F$304,F28,$R$5:$R$304,"&gt;="&amp;J28)&gt;0,"Decertified",IF(K28&lt;TODAY(),"Expired","Active"))))))</f>
        <v/>
      </c>
      <c r="V28" s="37"/>
      <c r="W28" s="12"/>
    </row>
    <row r="29" customFormat="false" ht="15" hidden="false" customHeight="false" outlineLevel="0" collapsed="false">
      <c r="A29" s="37"/>
      <c r="B29" s="38"/>
      <c r="C29" s="37"/>
      <c r="D29" s="31" t="str">
        <f aca="false">IF($C29="","",IFERROR(INDEX(Employee_Master!$B$5:$B$104,MATCH($C29,Employee_Master!$A$5:$A$104,0)),"ID not found"))</f>
        <v/>
      </c>
      <c r="E29" s="31" t="str">
        <f aca="false">IF($C29="","",IFERROR(INDEX(Employee_Master!$C$5:$C$104,MATCH($C29,Employee_Master!$A$5:$A$104,0)),"ID not found"))</f>
        <v/>
      </c>
      <c r="F29" s="37"/>
      <c r="G29" s="37"/>
      <c r="H29" s="37"/>
      <c r="I29" s="39"/>
      <c r="J29" s="38"/>
      <c r="K29" s="40" t="str">
        <f aca="false">IF(J29="","",EDATE(J29,Reference_Data!$AL$5))</f>
        <v/>
      </c>
      <c r="L29" s="37"/>
      <c r="M29" s="12"/>
      <c r="N29" s="41"/>
      <c r="O29" s="37"/>
      <c r="P29" s="31" t="str">
        <f aca="false">IF(O29="","",IFERROR(INDEX(Reference_Data!$J$5:$J$14,MATCH(O29,Reference_Data!$H$5:$H$14,0)),""))</f>
        <v/>
      </c>
      <c r="Q29" s="37"/>
      <c r="R29" s="38"/>
      <c r="S29" s="12"/>
      <c r="T29" s="40" t="str">
        <f aca="false">IF(R29="","",R29+Reference_Data!$AL$6)</f>
        <v/>
      </c>
      <c r="U29" s="31" t="str">
        <f aca="true">IF(C29="","",IF(Q29="Yes","Decertification Record",IF(J29="","—",IF(COUNTIFS($C$5:$C$304,C29,$F$5:$F$304,F29,$J$5:$J$304,"&gt;"&amp;J29)&gt;0,"Superseded",IF(COUNTIFS($C$5:$C$304,C29,$F$5:$F$304,F29,$R$5:$R$304,"&gt;="&amp;J29)&gt;0,"Decertified",IF(K29&lt;TODAY(),"Expired","Active"))))))</f>
        <v/>
      </c>
      <c r="V29" s="37"/>
      <c r="W29" s="12"/>
    </row>
    <row r="30" customFormat="false" ht="15" hidden="false" customHeight="false" outlineLevel="0" collapsed="false">
      <c r="A30" s="37"/>
      <c r="B30" s="38"/>
      <c r="C30" s="37"/>
      <c r="D30" s="31" t="str">
        <f aca="false">IF($C30="","",IFERROR(INDEX(Employee_Master!$B$5:$B$104,MATCH($C30,Employee_Master!$A$5:$A$104,0)),"ID not found"))</f>
        <v/>
      </c>
      <c r="E30" s="31" t="str">
        <f aca="false">IF($C30="","",IFERROR(INDEX(Employee_Master!$C$5:$C$104,MATCH($C30,Employee_Master!$A$5:$A$104,0)),"ID not found"))</f>
        <v/>
      </c>
      <c r="F30" s="37"/>
      <c r="G30" s="37"/>
      <c r="H30" s="37"/>
      <c r="I30" s="39"/>
      <c r="J30" s="38"/>
      <c r="K30" s="40" t="str">
        <f aca="false">IF(J30="","",EDATE(J30,Reference_Data!$AL$5))</f>
        <v/>
      </c>
      <c r="L30" s="37"/>
      <c r="M30" s="12"/>
      <c r="N30" s="41"/>
      <c r="O30" s="37"/>
      <c r="P30" s="31" t="str">
        <f aca="false">IF(O30="","",IFERROR(INDEX(Reference_Data!$J$5:$J$14,MATCH(O30,Reference_Data!$H$5:$H$14,0)),""))</f>
        <v/>
      </c>
      <c r="Q30" s="37"/>
      <c r="R30" s="38"/>
      <c r="S30" s="12"/>
      <c r="T30" s="40" t="str">
        <f aca="false">IF(R30="","",R30+Reference_Data!$AL$6)</f>
        <v/>
      </c>
      <c r="U30" s="31" t="str">
        <f aca="true">IF(C30="","",IF(Q30="Yes","Decertification Record",IF(J30="","—",IF(COUNTIFS($C$5:$C$304,C30,$F$5:$F$304,F30,$J$5:$J$304,"&gt;"&amp;J30)&gt;0,"Superseded",IF(COUNTIFS($C$5:$C$304,C30,$F$5:$F$304,F30,$R$5:$R$304,"&gt;="&amp;J30)&gt;0,"Decertified",IF(K30&lt;TODAY(),"Expired","Active"))))))</f>
        <v/>
      </c>
      <c r="V30" s="37"/>
      <c r="W30" s="12"/>
    </row>
    <row r="31" customFormat="false" ht="15" hidden="false" customHeight="false" outlineLevel="0" collapsed="false">
      <c r="A31" s="37"/>
      <c r="B31" s="38"/>
      <c r="C31" s="37"/>
      <c r="D31" s="31" t="str">
        <f aca="false">IF($C31="","",IFERROR(INDEX(Employee_Master!$B$5:$B$104,MATCH($C31,Employee_Master!$A$5:$A$104,0)),"ID not found"))</f>
        <v/>
      </c>
      <c r="E31" s="31" t="str">
        <f aca="false">IF($C31="","",IFERROR(INDEX(Employee_Master!$C$5:$C$104,MATCH($C31,Employee_Master!$A$5:$A$104,0)),"ID not found"))</f>
        <v/>
      </c>
      <c r="F31" s="37"/>
      <c r="G31" s="37"/>
      <c r="H31" s="37"/>
      <c r="I31" s="39"/>
      <c r="J31" s="38"/>
      <c r="K31" s="40" t="str">
        <f aca="false">IF(J31="","",EDATE(J31,Reference_Data!$AL$5))</f>
        <v/>
      </c>
      <c r="L31" s="37"/>
      <c r="M31" s="12"/>
      <c r="N31" s="41"/>
      <c r="O31" s="37"/>
      <c r="P31" s="31" t="str">
        <f aca="false">IF(O31="","",IFERROR(INDEX(Reference_Data!$J$5:$J$14,MATCH(O31,Reference_Data!$H$5:$H$14,0)),""))</f>
        <v/>
      </c>
      <c r="Q31" s="37"/>
      <c r="R31" s="38"/>
      <c r="S31" s="12"/>
      <c r="T31" s="40" t="str">
        <f aca="false">IF(R31="","",R31+Reference_Data!$AL$6)</f>
        <v/>
      </c>
      <c r="U31" s="31" t="str">
        <f aca="true">IF(C31="","",IF(Q31="Yes","Decertification Record",IF(J31="","—",IF(COUNTIFS($C$5:$C$304,C31,$F$5:$F$304,F31,$J$5:$J$304,"&gt;"&amp;J31)&gt;0,"Superseded",IF(COUNTIFS($C$5:$C$304,C31,$F$5:$F$304,F31,$R$5:$R$304,"&gt;="&amp;J31)&gt;0,"Decertified",IF(K31&lt;TODAY(),"Expired","Active"))))))</f>
        <v/>
      </c>
      <c r="V31" s="37"/>
      <c r="W31" s="12"/>
    </row>
    <row r="32" customFormat="false" ht="15" hidden="false" customHeight="false" outlineLevel="0" collapsed="false">
      <c r="A32" s="37"/>
      <c r="B32" s="38"/>
      <c r="C32" s="37"/>
      <c r="D32" s="31" t="str">
        <f aca="false">IF($C32="","",IFERROR(INDEX(Employee_Master!$B$5:$B$104,MATCH($C32,Employee_Master!$A$5:$A$104,0)),"ID not found"))</f>
        <v/>
      </c>
      <c r="E32" s="31" t="str">
        <f aca="false">IF($C32="","",IFERROR(INDEX(Employee_Master!$C$5:$C$104,MATCH($C32,Employee_Master!$A$5:$A$104,0)),"ID not found"))</f>
        <v/>
      </c>
      <c r="F32" s="37"/>
      <c r="G32" s="37"/>
      <c r="H32" s="37"/>
      <c r="I32" s="39"/>
      <c r="J32" s="38"/>
      <c r="K32" s="40" t="str">
        <f aca="false">IF(J32="","",EDATE(J32,Reference_Data!$AL$5))</f>
        <v/>
      </c>
      <c r="L32" s="37"/>
      <c r="M32" s="12"/>
      <c r="N32" s="41"/>
      <c r="O32" s="37"/>
      <c r="P32" s="31" t="str">
        <f aca="false">IF(O32="","",IFERROR(INDEX(Reference_Data!$J$5:$J$14,MATCH(O32,Reference_Data!$H$5:$H$14,0)),""))</f>
        <v/>
      </c>
      <c r="Q32" s="37"/>
      <c r="R32" s="38"/>
      <c r="S32" s="12"/>
      <c r="T32" s="40" t="str">
        <f aca="false">IF(R32="","",R32+Reference_Data!$AL$6)</f>
        <v/>
      </c>
      <c r="U32" s="31" t="str">
        <f aca="true">IF(C32="","",IF(Q32="Yes","Decertification Record",IF(J32="","—",IF(COUNTIFS($C$5:$C$304,C32,$F$5:$F$304,F32,$J$5:$J$304,"&gt;"&amp;J32)&gt;0,"Superseded",IF(COUNTIFS($C$5:$C$304,C32,$F$5:$F$304,F32,$R$5:$R$304,"&gt;="&amp;J32)&gt;0,"Decertified",IF(K32&lt;TODAY(),"Expired","Active"))))))</f>
        <v/>
      </c>
      <c r="V32" s="37"/>
      <c r="W32" s="12"/>
    </row>
    <row r="33" customFormat="false" ht="15" hidden="false" customHeight="false" outlineLevel="0" collapsed="false">
      <c r="A33" s="37"/>
      <c r="B33" s="38"/>
      <c r="C33" s="37"/>
      <c r="D33" s="31" t="str">
        <f aca="false">IF($C33="","",IFERROR(INDEX(Employee_Master!$B$5:$B$104,MATCH($C33,Employee_Master!$A$5:$A$104,0)),"ID not found"))</f>
        <v/>
      </c>
      <c r="E33" s="31" t="str">
        <f aca="false">IF($C33="","",IFERROR(INDEX(Employee_Master!$C$5:$C$104,MATCH($C33,Employee_Master!$A$5:$A$104,0)),"ID not found"))</f>
        <v/>
      </c>
      <c r="F33" s="37"/>
      <c r="G33" s="37"/>
      <c r="H33" s="37"/>
      <c r="I33" s="39"/>
      <c r="J33" s="38"/>
      <c r="K33" s="40" t="str">
        <f aca="false">IF(J33="","",EDATE(J33,Reference_Data!$AL$5))</f>
        <v/>
      </c>
      <c r="L33" s="37"/>
      <c r="M33" s="12"/>
      <c r="N33" s="41"/>
      <c r="O33" s="37"/>
      <c r="P33" s="31" t="str">
        <f aca="false">IF(O33="","",IFERROR(INDEX(Reference_Data!$J$5:$J$14,MATCH(O33,Reference_Data!$H$5:$H$14,0)),""))</f>
        <v/>
      </c>
      <c r="Q33" s="37"/>
      <c r="R33" s="38"/>
      <c r="S33" s="12"/>
      <c r="T33" s="40" t="str">
        <f aca="false">IF(R33="","",R33+Reference_Data!$AL$6)</f>
        <v/>
      </c>
      <c r="U33" s="31" t="str">
        <f aca="true">IF(C33="","",IF(Q33="Yes","Decertification Record",IF(J33="","—",IF(COUNTIFS($C$5:$C$304,C33,$F$5:$F$304,F33,$J$5:$J$304,"&gt;"&amp;J33)&gt;0,"Superseded",IF(COUNTIFS($C$5:$C$304,C33,$F$5:$F$304,F33,$R$5:$R$304,"&gt;="&amp;J33)&gt;0,"Decertified",IF(K33&lt;TODAY(),"Expired","Active"))))))</f>
        <v/>
      </c>
      <c r="V33" s="37"/>
      <c r="W33" s="12"/>
    </row>
    <row r="34" customFormat="false" ht="15" hidden="false" customHeight="false" outlineLevel="0" collapsed="false">
      <c r="A34" s="37"/>
      <c r="B34" s="38"/>
      <c r="C34" s="37"/>
      <c r="D34" s="31" t="str">
        <f aca="false">IF($C34="","",IFERROR(INDEX(Employee_Master!$B$5:$B$104,MATCH($C34,Employee_Master!$A$5:$A$104,0)),"ID not found"))</f>
        <v/>
      </c>
      <c r="E34" s="31" t="str">
        <f aca="false">IF($C34="","",IFERROR(INDEX(Employee_Master!$C$5:$C$104,MATCH($C34,Employee_Master!$A$5:$A$104,0)),"ID not found"))</f>
        <v/>
      </c>
      <c r="F34" s="37"/>
      <c r="G34" s="37"/>
      <c r="H34" s="37"/>
      <c r="I34" s="39"/>
      <c r="J34" s="38"/>
      <c r="K34" s="40" t="str">
        <f aca="false">IF(J34="","",EDATE(J34,Reference_Data!$AL$5))</f>
        <v/>
      </c>
      <c r="L34" s="37"/>
      <c r="M34" s="12"/>
      <c r="N34" s="41"/>
      <c r="O34" s="37"/>
      <c r="P34" s="31" t="str">
        <f aca="false">IF(O34="","",IFERROR(INDEX(Reference_Data!$J$5:$J$14,MATCH(O34,Reference_Data!$H$5:$H$14,0)),""))</f>
        <v/>
      </c>
      <c r="Q34" s="37"/>
      <c r="R34" s="38"/>
      <c r="S34" s="12"/>
      <c r="T34" s="40" t="str">
        <f aca="false">IF(R34="","",R34+Reference_Data!$AL$6)</f>
        <v/>
      </c>
      <c r="U34" s="31" t="str">
        <f aca="true">IF(C34="","",IF(Q34="Yes","Decertification Record",IF(J34="","—",IF(COUNTIFS($C$5:$C$304,C34,$F$5:$F$304,F34,$J$5:$J$304,"&gt;"&amp;J34)&gt;0,"Superseded",IF(COUNTIFS($C$5:$C$304,C34,$F$5:$F$304,F34,$R$5:$R$304,"&gt;="&amp;J34)&gt;0,"Decertified",IF(K34&lt;TODAY(),"Expired","Active"))))))</f>
        <v/>
      </c>
      <c r="V34" s="37"/>
      <c r="W34" s="12"/>
    </row>
    <row r="35" customFormat="false" ht="15" hidden="false" customHeight="false" outlineLevel="0" collapsed="false">
      <c r="A35" s="37"/>
      <c r="B35" s="38"/>
      <c r="C35" s="37"/>
      <c r="D35" s="31" t="str">
        <f aca="false">IF($C35="","",IFERROR(INDEX(Employee_Master!$B$5:$B$104,MATCH($C35,Employee_Master!$A$5:$A$104,0)),"ID not found"))</f>
        <v/>
      </c>
      <c r="E35" s="31" t="str">
        <f aca="false">IF($C35="","",IFERROR(INDEX(Employee_Master!$C$5:$C$104,MATCH($C35,Employee_Master!$A$5:$A$104,0)),"ID not found"))</f>
        <v/>
      </c>
      <c r="F35" s="37"/>
      <c r="G35" s="37"/>
      <c r="H35" s="37"/>
      <c r="I35" s="39"/>
      <c r="J35" s="38"/>
      <c r="K35" s="40" t="str">
        <f aca="false">IF(J35="","",EDATE(J35,Reference_Data!$AL$5))</f>
        <v/>
      </c>
      <c r="L35" s="37"/>
      <c r="M35" s="12"/>
      <c r="N35" s="41"/>
      <c r="O35" s="37"/>
      <c r="P35" s="31" t="str">
        <f aca="false">IF(O35="","",IFERROR(INDEX(Reference_Data!$J$5:$J$14,MATCH(O35,Reference_Data!$H$5:$H$14,0)),""))</f>
        <v/>
      </c>
      <c r="Q35" s="37"/>
      <c r="R35" s="38"/>
      <c r="S35" s="12"/>
      <c r="T35" s="40" t="str">
        <f aca="false">IF(R35="","",R35+Reference_Data!$AL$6)</f>
        <v/>
      </c>
      <c r="U35" s="31" t="str">
        <f aca="true">IF(C35="","",IF(Q35="Yes","Decertification Record",IF(J35="","—",IF(COUNTIFS($C$5:$C$304,C35,$F$5:$F$304,F35,$J$5:$J$304,"&gt;"&amp;J35)&gt;0,"Superseded",IF(COUNTIFS($C$5:$C$304,C35,$F$5:$F$304,F35,$R$5:$R$304,"&gt;="&amp;J35)&gt;0,"Decertified",IF(K35&lt;TODAY(),"Expired","Active"))))))</f>
        <v/>
      </c>
      <c r="V35" s="37"/>
      <c r="W35" s="12"/>
    </row>
    <row r="36" customFormat="false" ht="15" hidden="false" customHeight="false" outlineLevel="0" collapsed="false">
      <c r="A36" s="37"/>
      <c r="B36" s="38"/>
      <c r="C36" s="37"/>
      <c r="D36" s="31" t="str">
        <f aca="false">IF($C36="","",IFERROR(INDEX(Employee_Master!$B$5:$B$104,MATCH($C36,Employee_Master!$A$5:$A$104,0)),"ID not found"))</f>
        <v/>
      </c>
      <c r="E36" s="31" t="str">
        <f aca="false">IF($C36="","",IFERROR(INDEX(Employee_Master!$C$5:$C$104,MATCH($C36,Employee_Master!$A$5:$A$104,0)),"ID not found"))</f>
        <v/>
      </c>
      <c r="F36" s="37"/>
      <c r="G36" s="37"/>
      <c r="H36" s="37"/>
      <c r="I36" s="39"/>
      <c r="J36" s="38"/>
      <c r="K36" s="40" t="str">
        <f aca="false">IF(J36="","",EDATE(J36,Reference_Data!$AL$5))</f>
        <v/>
      </c>
      <c r="L36" s="37"/>
      <c r="M36" s="12"/>
      <c r="N36" s="41"/>
      <c r="O36" s="37"/>
      <c r="P36" s="31" t="str">
        <f aca="false">IF(O36="","",IFERROR(INDEX(Reference_Data!$J$5:$J$14,MATCH(O36,Reference_Data!$H$5:$H$14,0)),""))</f>
        <v/>
      </c>
      <c r="Q36" s="37"/>
      <c r="R36" s="38"/>
      <c r="S36" s="12"/>
      <c r="T36" s="40" t="str">
        <f aca="false">IF(R36="","",R36+Reference_Data!$AL$6)</f>
        <v/>
      </c>
      <c r="U36" s="31" t="str">
        <f aca="true">IF(C36="","",IF(Q36="Yes","Decertification Record",IF(J36="","—",IF(COUNTIFS($C$5:$C$304,C36,$F$5:$F$304,F36,$J$5:$J$304,"&gt;"&amp;J36)&gt;0,"Superseded",IF(COUNTIFS($C$5:$C$304,C36,$F$5:$F$304,F36,$R$5:$R$304,"&gt;="&amp;J36)&gt;0,"Decertified",IF(K36&lt;TODAY(),"Expired","Active"))))))</f>
        <v/>
      </c>
      <c r="V36" s="37"/>
      <c r="W36" s="12"/>
    </row>
    <row r="37" customFormat="false" ht="15" hidden="false" customHeight="false" outlineLevel="0" collapsed="false">
      <c r="A37" s="37"/>
      <c r="B37" s="38"/>
      <c r="C37" s="37"/>
      <c r="D37" s="31" t="str">
        <f aca="false">IF($C37="","",IFERROR(INDEX(Employee_Master!$B$5:$B$104,MATCH($C37,Employee_Master!$A$5:$A$104,0)),"ID not found"))</f>
        <v/>
      </c>
      <c r="E37" s="31" t="str">
        <f aca="false">IF($C37="","",IFERROR(INDEX(Employee_Master!$C$5:$C$104,MATCH($C37,Employee_Master!$A$5:$A$104,0)),"ID not found"))</f>
        <v/>
      </c>
      <c r="F37" s="37"/>
      <c r="G37" s="37"/>
      <c r="H37" s="37"/>
      <c r="I37" s="39"/>
      <c r="J37" s="38"/>
      <c r="K37" s="40" t="str">
        <f aca="false">IF(J37="","",EDATE(J37,Reference_Data!$AL$5))</f>
        <v/>
      </c>
      <c r="L37" s="37"/>
      <c r="M37" s="12"/>
      <c r="N37" s="41"/>
      <c r="O37" s="37"/>
      <c r="P37" s="31" t="str">
        <f aca="false">IF(O37="","",IFERROR(INDEX(Reference_Data!$J$5:$J$14,MATCH(O37,Reference_Data!$H$5:$H$14,0)),""))</f>
        <v/>
      </c>
      <c r="Q37" s="37"/>
      <c r="R37" s="38"/>
      <c r="S37" s="12"/>
      <c r="T37" s="40" t="str">
        <f aca="false">IF(R37="","",R37+Reference_Data!$AL$6)</f>
        <v/>
      </c>
      <c r="U37" s="31" t="str">
        <f aca="true">IF(C37="","",IF(Q37="Yes","Decertification Record",IF(J37="","—",IF(COUNTIFS($C$5:$C$304,C37,$F$5:$F$304,F37,$J$5:$J$304,"&gt;"&amp;J37)&gt;0,"Superseded",IF(COUNTIFS($C$5:$C$304,C37,$F$5:$F$304,F37,$R$5:$R$304,"&gt;="&amp;J37)&gt;0,"Decertified",IF(K37&lt;TODAY(),"Expired","Active"))))))</f>
        <v/>
      </c>
      <c r="V37" s="37"/>
      <c r="W37" s="12"/>
    </row>
    <row r="38" customFormat="false" ht="15" hidden="false" customHeight="false" outlineLevel="0" collapsed="false">
      <c r="A38" s="37"/>
      <c r="B38" s="38"/>
      <c r="C38" s="37"/>
      <c r="D38" s="31" t="str">
        <f aca="false">IF($C38="","",IFERROR(INDEX(Employee_Master!$B$5:$B$104,MATCH($C38,Employee_Master!$A$5:$A$104,0)),"ID not found"))</f>
        <v/>
      </c>
      <c r="E38" s="31" t="str">
        <f aca="false">IF($C38="","",IFERROR(INDEX(Employee_Master!$C$5:$C$104,MATCH($C38,Employee_Master!$A$5:$A$104,0)),"ID not found"))</f>
        <v/>
      </c>
      <c r="F38" s="37"/>
      <c r="G38" s="37"/>
      <c r="H38" s="37"/>
      <c r="I38" s="39"/>
      <c r="J38" s="38"/>
      <c r="K38" s="40" t="str">
        <f aca="false">IF(J38="","",EDATE(J38,Reference_Data!$AL$5))</f>
        <v/>
      </c>
      <c r="L38" s="37"/>
      <c r="M38" s="12"/>
      <c r="N38" s="41"/>
      <c r="O38" s="37"/>
      <c r="P38" s="31" t="str">
        <f aca="false">IF(O38="","",IFERROR(INDEX(Reference_Data!$J$5:$J$14,MATCH(O38,Reference_Data!$H$5:$H$14,0)),""))</f>
        <v/>
      </c>
      <c r="Q38" s="37"/>
      <c r="R38" s="38"/>
      <c r="S38" s="12"/>
      <c r="T38" s="40" t="str">
        <f aca="false">IF(R38="","",R38+Reference_Data!$AL$6)</f>
        <v/>
      </c>
      <c r="U38" s="31" t="str">
        <f aca="true">IF(C38="","",IF(Q38="Yes","Decertification Record",IF(J38="","—",IF(COUNTIFS($C$5:$C$304,C38,$F$5:$F$304,F38,$J$5:$J$304,"&gt;"&amp;J38)&gt;0,"Superseded",IF(COUNTIFS($C$5:$C$304,C38,$F$5:$F$304,F38,$R$5:$R$304,"&gt;="&amp;J38)&gt;0,"Decertified",IF(K38&lt;TODAY(),"Expired","Active"))))))</f>
        <v/>
      </c>
      <c r="V38" s="37"/>
      <c r="W38" s="12"/>
    </row>
    <row r="39" customFormat="false" ht="15" hidden="false" customHeight="false" outlineLevel="0" collapsed="false">
      <c r="A39" s="37"/>
      <c r="B39" s="38"/>
      <c r="C39" s="37"/>
      <c r="D39" s="31" t="str">
        <f aca="false">IF($C39="","",IFERROR(INDEX(Employee_Master!$B$5:$B$104,MATCH($C39,Employee_Master!$A$5:$A$104,0)),"ID not found"))</f>
        <v/>
      </c>
      <c r="E39" s="31" t="str">
        <f aca="false">IF($C39="","",IFERROR(INDEX(Employee_Master!$C$5:$C$104,MATCH($C39,Employee_Master!$A$5:$A$104,0)),"ID not found"))</f>
        <v/>
      </c>
      <c r="F39" s="37"/>
      <c r="G39" s="37"/>
      <c r="H39" s="37"/>
      <c r="I39" s="39"/>
      <c r="J39" s="38"/>
      <c r="K39" s="40" t="str">
        <f aca="false">IF(J39="","",EDATE(J39,Reference_Data!$AL$5))</f>
        <v/>
      </c>
      <c r="L39" s="37"/>
      <c r="M39" s="12"/>
      <c r="N39" s="41"/>
      <c r="O39" s="37"/>
      <c r="P39" s="31" t="str">
        <f aca="false">IF(O39="","",IFERROR(INDEX(Reference_Data!$J$5:$J$14,MATCH(O39,Reference_Data!$H$5:$H$14,0)),""))</f>
        <v/>
      </c>
      <c r="Q39" s="37"/>
      <c r="R39" s="38"/>
      <c r="S39" s="12"/>
      <c r="T39" s="40" t="str">
        <f aca="false">IF(R39="","",R39+Reference_Data!$AL$6)</f>
        <v/>
      </c>
      <c r="U39" s="31" t="str">
        <f aca="true">IF(C39="","",IF(Q39="Yes","Decertification Record",IF(J39="","—",IF(COUNTIFS($C$5:$C$304,C39,$F$5:$F$304,F39,$J$5:$J$304,"&gt;"&amp;J39)&gt;0,"Superseded",IF(COUNTIFS($C$5:$C$304,C39,$F$5:$F$304,F39,$R$5:$R$304,"&gt;="&amp;J39)&gt;0,"Decertified",IF(K39&lt;TODAY(),"Expired","Active"))))))</f>
        <v/>
      </c>
      <c r="V39" s="37"/>
      <c r="W39" s="12"/>
    </row>
    <row r="40" customFormat="false" ht="15" hidden="false" customHeight="false" outlineLevel="0" collapsed="false">
      <c r="A40" s="37"/>
      <c r="B40" s="38"/>
      <c r="C40" s="37"/>
      <c r="D40" s="31" t="str">
        <f aca="false">IF($C40="","",IFERROR(INDEX(Employee_Master!$B$5:$B$104,MATCH($C40,Employee_Master!$A$5:$A$104,0)),"ID not found"))</f>
        <v/>
      </c>
      <c r="E40" s="31" t="str">
        <f aca="false">IF($C40="","",IFERROR(INDEX(Employee_Master!$C$5:$C$104,MATCH($C40,Employee_Master!$A$5:$A$104,0)),"ID not found"))</f>
        <v/>
      </c>
      <c r="F40" s="37"/>
      <c r="G40" s="37"/>
      <c r="H40" s="37"/>
      <c r="I40" s="39"/>
      <c r="J40" s="38"/>
      <c r="K40" s="40" t="str">
        <f aca="false">IF(J40="","",EDATE(J40,Reference_Data!$AL$5))</f>
        <v/>
      </c>
      <c r="L40" s="37"/>
      <c r="M40" s="12"/>
      <c r="N40" s="41"/>
      <c r="O40" s="37"/>
      <c r="P40" s="31" t="str">
        <f aca="false">IF(O40="","",IFERROR(INDEX(Reference_Data!$J$5:$J$14,MATCH(O40,Reference_Data!$H$5:$H$14,0)),""))</f>
        <v/>
      </c>
      <c r="Q40" s="37"/>
      <c r="R40" s="38"/>
      <c r="S40" s="12"/>
      <c r="T40" s="40" t="str">
        <f aca="false">IF(R40="","",R40+Reference_Data!$AL$6)</f>
        <v/>
      </c>
      <c r="U40" s="31" t="str">
        <f aca="true">IF(C40="","",IF(Q40="Yes","Decertification Record",IF(J40="","—",IF(COUNTIFS($C$5:$C$304,C40,$F$5:$F$304,F40,$J$5:$J$304,"&gt;"&amp;J40)&gt;0,"Superseded",IF(COUNTIFS($C$5:$C$304,C40,$F$5:$F$304,F40,$R$5:$R$304,"&gt;="&amp;J40)&gt;0,"Decertified",IF(K40&lt;TODAY(),"Expired","Active"))))))</f>
        <v/>
      </c>
      <c r="V40" s="37"/>
      <c r="W40" s="12"/>
    </row>
    <row r="41" customFormat="false" ht="15" hidden="false" customHeight="false" outlineLevel="0" collapsed="false">
      <c r="A41" s="37"/>
      <c r="B41" s="38"/>
      <c r="C41" s="37"/>
      <c r="D41" s="31" t="str">
        <f aca="false">IF($C41="","",IFERROR(INDEX(Employee_Master!$B$5:$B$104,MATCH($C41,Employee_Master!$A$5:$A$104,0)),"ID not found"))</f>
        <v/>
      </c>
      <c r="E41" s="31" t="str">
        <f aca="false">IF($C41="","",IFERROR(INDEX(Employee_Master!$C$5:$C$104,MATCH($C41,Employee_Master!$A$5:$A$104,0)),"ID not found"))</f>
        <v/>
      </c>
      <c r="F41" s="37"/>
      <c r="G41" s="37"/>
      <c r="H41" s="37"/>
      <c r="I41" s="39"/>
      <c r="J41" s="38"/>
      <c r="K41" s="40" t="str">
        <f aca="false">IF(J41="","",EDATE(J41,Reference_Data!$AL$5))</f>
        <v/>
      </c>
      <c r="L41" s="37"/>
      <c r="M41" s="12"/>
      <c r="N41" s="41"/>
      <c r="O41" s="37"/>
      <c r="P41" s="31" t="str">
        <f aca="false">IF(O41="","",IFERROR(INDEX(Reference_Data!$J$5:$J$14,MATCH(O41,Reference_Data!$H$5:$H$14,0)),""))</f>
        <v/>
      </c>
      <c r="Q41" s="37"/>
      <c r="R41" s="38"/>
      <c r="S41" s="12"/>
      <c r="T41" s="40" t="str">
        <f aca="false">IF(R41="","",R41+Reference_Data!$AL$6)</f>
        <v/>
      </c>
      <c r="U41" s="31" t="str">
        <f aca="true">IF(C41="","",IF(Q41="Yes","Decertification Record",IF(J41="","—",IF(COUNTIFS($C$5:$C$304,C41,$F$5:$F$304,F41,$J$5:$J$304,"&gt;"&amp;J41)&gt;0,"Superseded",IF(COUNTIFS($C$5:$C$304,C41,$F$5:$F$304,F41,$R$5:$R$304,"&gt;="&amp;J41)&gt;0,"Decertified",IF(K41&lt;TODAY(),"Expired","Active"))))))</f>
        <v/>
      </c>
      <c r="V41" s="37"/>
      <c r="W41" s="12"/>
    </row>
    <row r="42" customFormat="false" ht="15" hidden="false" customHeight="false" outlineLevel="0" collapsed="false">
      <c r="A42" s="37"/>
      <c r="B42" s="38"/>
      <c r="C42" s="37"/>
      <c r="D42" s="31" t="str">
        <f aca="false">IF($C42="","",IFERROR(INDEX(Employee_Master!$B$5:$B$104,MATCH($C42,Employee_Master!$A$5:$A$104,0)),"ID not found"))</f>
        <v/>
      </c>
      <c r="E42" s="31" t="str">
        <f aca="false">IF($C42="","",IFERROR(INDEX(Employee_Master!$C$5:$C$104,MATCH($C42,Employee_Master!$A$5:$A$104,0)),"ID not found"))</f>
        <v/>
      </c>
      <c r="F42" s="37"/>
      <c r="G42" s="37"/>
      <c r="H42" s="37"/>
      <c r="I42" s="39"/>
      <c r="J42" s="38"/>
      <c r="K42" s="40" t="str">
        <f aca="false">IF(J42="","",EDATE(J42,Reference_Data!$AL$5))</f>
        <v/>
      </c>
      <c r="L42" s="37"/>
      <c r="M42" s="12"/>
      <c r="N42" s="41"/>
      <c r="O42" s="37"/>
      <c r="P42" s="31" t="str">
        <f aca="false">IF(O42="","",IFERROR(INDEX(Reference_Data!$J$5:$J$14,MATCH(O42,Reference_Data!$H$5:$H$14,0)),""))</f>
        <v/>
      </c>
      <c r="Q42" s="37"/>
      <c r="R42" s="38"/>
      <c r="S42" s="12"/>
      <c r="T42" s="40" t="str">
        <f aca="false">IF(R42="","",R42+Reference_Data!$AL$6)</f>
        <v/>
      </c>
      <c r="U42" s="31" t="str">
        <f aca="true">IF(C42="","",IF(Q42="Yes","Decertification Record",IF(J42="","—",IF(COUNTIFS($C$5:$C$304,C42,$F$5:$F$304,F42,$J$5:$J$304,"&gt;"&amp;J42)&gt;0,"Superseded",IF(COUNTIFS($C$5:$C$304,C42,$F$5:$F$304,F42,$R$5:$R$304,"&gt;="&amp;J42)&gt;0,"Decertified",IF(K42&lt;TODAY(),"Expired","Active"))))))</f>
        <v/>
      </c>
      <c r="V42" s="37"/>
      <c r="W42" s="12"/>
    </row>
    <row r="43" customFormat="false" ht="15" hidden="false" customHeight="false" outlineLevel="0" collapsed="false">
      <c r="A43" s="37"/>
      <c r="B43" s="38"/>
      <c r="C43" s="37"/>
      <c r="D43" s="31" t="str">
        <f aca="false">IF($C43="","",IFERROR(INDEX(Employee_Master!$B$5:$B$104,MATCH($C43,Employee_Master!$A$5:$A$104,0)),"ID not found"))</f>
        <v/>
      </c>
      <c r="E43" s="31" t="str">
        <f aca="false">IF($C43="","",IFERROR(INDEX(Employee_Master!$C$5:$C$104,MATCH($C43,Employee_Master!$A$5:$A$104,0)),"ID not found"))</f>
        <v/>
      </c>
      <c r="F43" s="37"/>
      <c r="G43" s="37"/>
      <c r="H43" s="37"/>
      <c r="I43" s="39"/>
      <c r="J43" s="38"/>
      <c r="K43" s="40" t="str">
        <f aca="false">IF(J43="","",EDATE(J43,Reference_Data!$AL$5))</f>
        <v/>
      </c>
      <c r="L43" s="37"/>
      <c r="M43" s="12"/>
      <c r="N43" s="41"/>
      <c r="O43" s="37"/>
      <c r="P43" s="31" t="str">
        <f aca="false">IF(O43="","",IFERROR(INDEX(Reference_Data!$J$5:$J$14,MATCH(O43,Reference_Data!$H$5:$H$14,0)),""))</f>
        <v/>
      </c>
      <c r="Q43" s="37"/>
      <c r="R43" s="38"/>
      <c r="S43" s="12"/>
      <c r="T43" s="40" t="str">
        <f aca="false">IF(R43="","",R43+Reference_Data!$AL$6)</f>
        <v/>
      </c>
      <c r="U43" s="31" t="str">
        <f aca="true">IF(C43="","",IF(Q43="Yes","Decertification Record",IF(J43="","—",IF(COUNTIFS($C$5:$C$304,C43,$F$5:$F$304,F43,$J$5:$J$304,"&gt;"&amp;J43)&gt;0,"Superseded",IF(COUNTIFS($C$5:$C$304,C43,$F$5:$F$304,F43,$R$5:$R$304,"&gt;="&amp;J43)&gt;0,"Decertified",IF(K43&lt;TODAY(),"Expired","Active"))))))</f>
        <v/>
      </c>
      <c r="V43" s="37"/>
      <c r="W43" s="12"/>
    </row>
    <row r="44" customFormat="false" ht="15" hidden="false" customHeight="false" outlineLevel="0" collapsed="false">
      <c r="A44" s="37"/>
      <c r="B44" s="38"/>
      <c r="C44" s="37"/>
      <c r="D44" s="31" t="str">
        <f aca="false">IF($C44="","",IFERROR(INDEX(Employee_Master!$B$5:$B$104,MATCH($C44,Employee_Master!$A$5:$A$104,0)),"ID not found"))</f>
        <v/>
      </c>
      <c r="E44" s="31" t="str">
        <f aca="false">IF($C44="","",IFERROR(INDEX(Employee_Master!$C$5:$C$104,MATCH($C44,Employee_Master!$A$5:$A$104,0)),"ID not found"))</f>
        <v/>
      </c>
      <c r="F44" s="37"/>
      <c r="G44" s="37"/>
      <c r="H44" s="37"/>
      <c r="I44" s="39"/>
      <c r="J44" s="38"/>
      <c r="K44" s="40" t="str">
        <f aca="false">IF(J44="","",EDATE(J44,Reference_Data!$AL$5))</f>
        <v/>
      </c>
      <c r="L44" s="37"/>
      <c r="M44" s="12"/>
      <c r="N44" s="41"/>
      <c r="O44" s="37"/>
      <c r="P44" s="31" t="str">
        <f aca="false">IF(O44="","",IFERROR(INDEX(Reference_Data!$J$5:$J$14,MATCH(O44,Reference_Data!$H$5:$H$14,0)),""))</f>
        <v/>
      </c>
      <c r="Q44" s="37"/>
      <c r="R44" s="38"/>
      <c r="S44" s="12"/>
      <c r="T44" s="40" t="str">
        <f aca="false">IF(R44="","",R44+Reference_Data!$AL$6)</f>
        <v/>
      </c>
      <c r="U44" s="31" t="str">
        <f aca="true">IF(C44="","",IF(Q44="Yes","Decertification Record",IF(J44="","—",IF(COUNTIFS($C$5:$C$304,C44,$F$5:$F$304,F44,$J$5:$J$304,"&gt;"&amp;J44)&gt;0,"Superseded",IF(COUNTIFS($C$5:$C$304,C44,$F$5:$F$304,F44,$R$5:$R$304,"&gt;="&amp;J44)&gt;0,"Decertified",IF(K44&lt;TODAY(),"Expired","Active"))))))</f>
        <v/>
      </c>
      <c r="V44" s="37"/>
      <c r="W44" s="12"/>
    </row>
    <row r="45" customFormat="false" ht="15" hidden="false" customHeight="false" outlineLevel="0" collapsed="false">
      <c r="A45" s="37"/>
      <c r="B45" s="38"/>
      <c r="C45" s="37"/>
      <c r="D45" s="31" t="str">
        <f aca="false">IF($C45="","",IFERROR(INDEX(Employee_Master!$B$5:$B$104,MATCH($C45,Employee_Master!$A$5:$A$104,0)),"ID not found"))</f>
        <v/>
      </c>
      <c r="E45" s="31" t="str">
        <f aca="false">IF($C45="","",IFERROR(INDEX(Employee_Master!$C$5:$C$104,MATCH($C45,Employee_Master!$A$5:$A$104,0)),"ID not found"))</f>
        <v/>
      </c>
      <c r="F45" s="37"/>
      <c r="G45" s="37"/>
      <c r="H45" s="37"/>
      <c r="I45" s="39"/>
      <c r="J45" s="38"/>
      <c r="K45" s="40" t="str">
        <f aca="false">IF(J45="","",EDATE(J45,Reference_Data!$AL$5))</f>
        <v/>
      </c>
      <c r="L45" s="37"/>
      <c r="M45" s="12"/>
      <c r="N45" s="41"/>
      <c r="O45" s="37"/>
      <c r="P45" s="31" t="str">
        <f aca="false">IF(O45="","",IFERROR(INDEX(Reference_Data!$J$5:$J$14,MATCH(O45,Reference_Data!$H$5:$H$14,0)),""))</f>
        <v/>
      </c>
      <c r="Q45" s="37"/>
      <c r="R45" s="38"/>
      <c r="S45" s="12"/>
      <c r="T45" s="40" t="str">
        <f aca="false">IF(R45="","",R45+Reference_Data!$AL$6)</f>
        <v/>
      </c>
      <c r="U45" s="31" t="str">
        <f aca="true">IF(C45="","",IF(Q45="Yes","Decertification Record",IF(J45="","—",IF(COUNTIFS($C$5:$C$304,C45,$F$5:$F$304,F45,$J$5:$J$304,"&gt;"&amp;J45)&gt;0,"Superseded",IF(COUNTIFS($C$5:$C$304,C45,$F$5:$F$304,F45,$R$5:$R$304,"&gt;="&amp;J45)&gt;0,"Decertified",IF(K45&lt;TODAY(),"Expired","Active"))))))</f>
        <v/>
      </c>
      <c r="V45" s="37"/>
      <c r="W45" s="12"/>
    </row>
    <row r="46" customFormat="false" ht="15" hidden="false" customHeight="false" outlineLevel="0" collapsed="false">
      <c r="A46" s="37"/>
      <c r="B46" s="38"/>
      <c r="C46" s="37"/>
      <c r="D46" s="31" t="str">
        <f aca="false">IF($C46="","",IFERROR(INDEX(Employee_Master!$B$5:$B$104,MATCH($C46,Employee_Master!$A$5:$A$104,0)),"ID not found"))</f>
        <v/>
      </c>
      <c r="E46" s="31" t="str">
        <f aca="false">IF($C46="","",IFERROR(INDEX(Employee_Master!$C$5:$C$104,MATCH($C46,Employee_Master!$A$5:$A$104,0)),"ID not found"))</f>
        <v/>
      </c>
      <c r="F46" s="37"/>
      <c r="G46" s="37"/>
      <c r="H46" s="37"/>
      <c r="I46" s="39"/>
      <c r="J46" s="38"/>
      <c r="K46" s="40" t="str">
        <f aca="false">IF(J46="","",EDATE(J46,Reference_Data!$AL$5))</f>
        <v/>
      </c>
      <c r="L46" s="37"/>
      <c r="M46" s="12"/>
      <c r="N46" s="41"/>
      <c r="O46" s="37"/>
      <c r="P46" s="31" t="str">
        <f aca="false">IF(O46="","",IFERROR(INDEX(Reference_Data!$J$5:$J$14,MATCH(O46,Reference_Data!$H$5:$H$14,0)),""))</f>
        <v/>
      </c>
      <c r="Q46" s="37"/>
      <c r="R46" s="38"/>
      <c r="S46" s="12"/>
      <c r="T46" s="40" t="str">
        <f aca="false">IF(R46="","",R46+Reference_Data!$AL$6)</f>
        <v/>
      </c>
      <c r="U46" s="31" t="str">
        <f aca="true">IF(C46="","",IF(Q46="Yes","Decertification Record",IF(J46="","—",IF(COUNTIFS($C$5:$C$304,C46,$F$5:$F$304,F46,$J$5:$J$304,"&gt;"&amp;J46)&gt;0,"Superseded",IF(COUNTIFS($C$5:$C$304,C46,$F$5:$F$304,F46,$R$5:$R$304,"&gt;="&amp;J46)&gt;0,"Decertified",IF(K46&lt;TODAY(),"Expired","Active"))))))</f>
        <v/>
      </c>
      <c r="V46" s="37"/>
      <c r="W46" s="12"/>
    </row>
    <row r="47" customFormat="false" ht="15" hidden="false" customHeight="false" outlineLevel="0" collapsed="false">
      <c r="A47" s="37"/>
      <c r="B47" s="38"/>
      <c r="C47" s="37"/>
      <c r="D47" s="31" t="str">
        <f aca="false">IF($C47="","",IFERROR(INDEX(Employee_Master!$B$5:$B$104,MATCH($C47,Employee_Master!$A$5:$A$104,0)),"ID not found"))</f>
        <v/>
      </c>
      <c r="E47" s="31" t="str">
        <f aca="false">IF($C47="","",IFERROR(INDEX(Employee_Master!$C$5:$C$104,MATCH($C47,Employee_Master!$A$5:$A$104,0)),"ID not found"))</f>
        <v/>
      </c>
      <c r="F47" s="37"/>
      <c r="G47" s="37"/>
      <c r="H47" s="37"/>
      <c r="I47" s="39"/>
      <c r="J47" s="38"/>
      <c r="K47" s="40" t="str">
        <f aca="false">IF(J47="","",EDATE(J47,Reference_Data!$AL$5))</f>
        <v/>
      </c>
      <c r="L47" s="37"/>
      <c r="M47" s="12"/>
      <c r="N47" s="41"/>
      <c r="O47" s="37"/>
      <c r="P47" s="31" t="str">
        <f aca="false">IF(O47="","",IFERROR(INDEX(Reference_Data!$J$5:$J$14,MATCH(O47,Reference_Data!$H$5:$H$14,0)),""))</f>
        <v/>
      </c>
      <c r="Q47" s="37"/>
      <c r="R47" s="38"/>
      <c r="S47" s="12"/>
      <c r="T47" s="40" t="str">
        <f aca="false">IF(R47="","",R47+Reference_Data!$AL$6)</f>
        <v/>
      </c>
      <c r="U47" s="31" t="str">
        <f aca="true">IF(C47="","",IF(Q47="Yes","Decertification Record",IF(J47="","—",IF(COUNTIFS($C$5:$C$304,C47,$F$5:$F$304,F47,$J$5:$J$304,"&gt;"&amp;J47)&gt;0,"Superseded",IF(COUNTIFS($C$5:$C$304,C47,$F$5:$F$304,F47,$R$5:$R$304,"&gt;="&amp;J47)&gt;0,"Decertified",IF(K47&lt;TODAY(),"Expired","Active"))))))</f>
        <v/>
      </c>
      <c r="V47" s="37"/>
      <c r="W47" s="12"/>
    </row>
    <row r="48" customFormat="false" ht="15" hidden="false" customHeight="false" outlineLevel="0" collapsed="false">
      <c r="A48" s="37"/>
      <c r="B48" s="38"/>
      <c r="C48" s="37"/>
      <c r="D48" s="31" t="str">
        <f aca="false">IF($C48="","",IFERROR(INDEX(Employee_Master!$B$5:$B$104,MATCH($C48,Employee_Master!$A$5:$A$104,0)),"ID not found"))</f>
        <v/>
      </c>
      <c r="E48" s="31" t="str">
        <f aca="false">IF($C48="","",IFERROR(INDEX(Employee_Master!$C$5:$C$104,MATCH($C48,Employee_Master!$A$5:$A$104,0)),"ID not found"))</f>
        <v/>
      </c>
      <c r="F48" s="37"/>
      <c r="G48" s="37"/>
      <c r="H48" s="37"/>
      <c r="I48" s="39"/>
      <c r="J48" s="38"/>
      <c r="K48" s="40" t="str">
        <f aca="false">IF(J48="","",EDATE(J48,Reference_Data!$AL$5))</f>
        <v/>
      </c>
      <c r="L48" s="37"/>
      <c r="M48" s="12"/>
      <c r="N48" s="41"/>
      <c r="O48" s="37"/>
      <c r="P48" s="31" t="str">
        <f aca="false">IF(O48="","",IFERROR(INDEX(Reference_Data!$J$5:$J$14,MATCH(O48,Reference_Data!$H$5:$H$14,0)),""))</f>
        <v/>
      </c>
      <c r="Q48" s="37"/>
      <c r="R48" s="38"/>
      <c r="S48" s="12"/>
      <c r="T48" s="40" t="str">
        <f aca="false">IF(R48="","",R48+Reference_Data!$AL$6)</f>
        <v/>
      </c>
      <c r="U48" s="31" t="str">
        <f aca="true">IF(C48="","",IF(Q48="Yes","Decertification Record",IF(J48="","—",IF(COUNTIFS($C$5:$C$304,C48,$F$5:$F$304,F48,$J$5:$J$304,"&gt;"&amp;J48)&gt;0,"Superseded",IF(COUNTIFS($C$5:$C$304,C48,$F$5:$F$304,F48,$R$5:$R$304,"&gt;="&amp;J48)&gt;0,"Decertified",IF(K48&lt;TODAY(),"Expired","Active"))))))</f>
        <v/>
      </c>
      <c r="V48" s="37"/>
      <c r="W48" s="12"/>
    </row>
    <row r="49" customFormat="false" ht="15" hidden="false" customHeight="false" outlineLevel="0" collapsed="false">
      <c r="A49" s="37"/>
      <c r="B49" s="38"/>
      <c r="C49" s="37"/>
      <c r="D49" s="31" t="str">
        <f aca="false">IF($C49="","",IFERROR(INDEX(Employee_Master!$B$5:$B$104,MATCH($C49,Employee_Master!$A$5:$A$104,0)),"ID not found"))</f>
        <v/>
      </c>
      <c r="E49" s="31" t="str">
        <f aca="false">IF($C49="","",IFERROR(INDEX(Employee_Master!$C$5:$C$104,MATCH($C49,Employee_Master!$A$5:$A$104,0)),"ID not found"))</f>
        <v/>
      </c>
      <c r="F49" s="37"/>
      <c r="G49" s="37"/>
      <c r="H49" s="37"/>
      <c r="I49" s="39"/>
      <c r="J49" s="38"/>
      <c r="K49" s="40" t="str">
        <f aca="false">IF(J49="","",EDATE(J49,Reference_Data!$AL$5))</f>
        <v/>
      </c>
      <c r="L49" s="37"/>
      <c r="M49" s="12"/>
      <c r="N49" s="41"/>
      <c r="O49" s="37"/>
      <c r="P49" s="31" t="str">
        <f aca="false">IF(O49="","",IFERROR(INDEX(Reference_Data!$J$5:$J$14,MATCH(O49,Reference_Data!$H$5:$H$14,0)),""))</f>
        <v/>
      </c>
      <c r="Q49" s="37"/>
      <c r="R49" s="38"/>
      <c r="S49" s="12"/>
      <c r="T49" s="40" t="str">
        <f aca="false">IF(R49="","",R49+Reference_Data!$AL$6)</f>
        <v/>
      </c>
      <c r="U49" s="31" t="str">
        <f aca="true">IF(C49="","",IF(Q49="Yes","Decertification Record",IF(J49="","—",IF(COUNTIFS($C$5:$C$304,C49,$F$5:$F$304,F49,$J$5:$J$304,"&gt;"&amp;J49)&gt;0,"Superseded",IF(COUNTIFS($C$5:$C$304,C49,$F$5:$F$304,F49,$R$5:$R$304,"&gt;="&amp;J49)&gt;0,"Decertified",IF(K49&lt;TODAY(),"Expired","Active"))))))</f>
        <v/>
      </c>
      <c r="V49" s="37"/>
      <c r="W49" s="12"/>
    </row>
    <row r="50" customFormat="false" ht="15" hidden="false" customHeight="false" outlineLevel="0" collapsed="false">
      <c r="A50" s="37"/>
      <c r="B50" s="38"/>
      <c r="C50" s="37"/>
      <c r="D50" s="31" t="str">
        <f aca="false">IF($C50="","",IFERROR(INDEX(Employee_Master!$B$5:$B$104,MATCH($C50,Employee_Master!$A$5:$A$104,0)),"ID not found"))</f>
        <v/>
      </c>
      <c r="E50" s="31" t="str">
        <f aca="false">IF($C50="","",IFERROR(INDEX(Employee_Master!$C$5:$C$104,MATCH($C50,Employee_Master!$A$5:$A$104,0)),"ID not found"))</f>
        <v/>
      </c>
      <c r="F50" s="37"/>
      <c r="G50" s="37"/>
      <c r="H50" s="37"/>
      <c r="I50" s="39"/>
      <c r="J50" s="38"/>
      <c r="K50" s="40" t="str">
        <f aca="false">IF(J50="","",EDATE(J50,Reference_Data!$AL$5))</f>
        <v/>
      </c>
      <c r="L50" s="37"/>
      <c r="M50" s="12"/>
      <c r="N50" s="41"/>
      <c r="O50" s="37"/>
      <c r="P50" s="31" t="str">
        <f aca="false">IF(O50="","",IFERROR(INDEX(Reference_Data!$J$5:$J$14,MATCH(O50,Reference_Data!$H$5:$H$14,0)),""))</f>
        <v/>
      </c>
      <c r="Q50" s="37"/>
      <c r="R50" s="38"/>
      <c r="S50" s="12"/>
      <c r="T50" s="40" t="str">
        <f aca="false">IF(R50="","",R50+Reference_Data!$AL$6)</f>
        <v/>
      </c>
      <c r="U50" s="31" t="str">
        <f aca="true">IF(C50="","",IF(Q50="Yes","Decertification Record",IF(J50="","—",IF(COUNTIFS($C$5:$C$304,C50,$F$5:$F$304,F50,$J$5:$J$304,"&gt;"&amp;J50)&gt;0,"Superseded",IF(COUNTIFS($C$5:$C$304,C50,$F$5:$F$304,F50,$R$5:$R$304,"&gt;="&amp;J50)&gt;0,"Decertified",IF(K50&lt;TODAY(),"Expired","Active"))))))</f>
        <v/>
      </c>
      <c r="V50" s="37"/>
      <c r="W50" s="12"/>
    </row>
    <row r="51" customFormat="false" ht="15" hidden="false" customHeight="false" outlineLevel="0" collapsed="false">
      <c r="A51" s="37"/>
      <c r="B51" s="38"/>
      <c r="C51" s="37"/>
      <c r="D51" s="31" t="str">
        <f aca="false">IF($C51="","",IFERROR(INDEX(Employee_Master!$B$5:$B$104,MATCH($C51,Employee_Master!$A$5:$A$104,0)),"ID not found"))</f>
        <v/>
      </c>
      <c r="E51" s="31" t="str">
        <f aca="false">IF($C51="","",IFERROR(INDEX(Employee_Master!$C$5:$C$104,MATCH($C51,Employee_Master!$A$5:$A$104,0)),"ID not found"))</f>
        <v/>
      </c>
      <c r="F51" s="37"/>
      <c r="G51" s="37"/>
      <c r="H51" s="37"/>
      <c r="I51" s="39"/>
      <c r="J51" s="38"/>
      <c r="K51" s="40" t="str">
        <f aca="false">IF(J51="","",EDATE(J51,Reference_Data!$AL$5))</f>
        <v/>
      </c>
      <c r="L51" s="37"/>
      <c r="M51" s="12"/>
      <c r="N51" s="41"/>
      <c r="O51" s="37"/>
      <c r="P51" s="31" t="str">
        <f aca="false">IF(O51="","",IFERROR(INDEX(Reference_Data!$J$5:$J$14,MATCH(O51,Reference_Data!$H$5:$H$14,0)),""))</f>
        <v/>
      </c>
      <c r="Q51" s="37"/>
      <c r="R51" s="38"/>
      <c r="S51" s="12"/>
      <c r="T51" s="40" t="str">
        <f aca="false">IF(R51="","",R51+Reference_Data!$AL$6)</f>
        <v/>
      </c>
      <c r="U51" s="31" t="str">
        <f aca="true">IF(C51="","",IF(Q51="Yes","Decertification Record",IF(J51="","—",IF(COUNTIFS($C$5:$C$304,C51,$F$5:$F$304,F51,$J$5:$J$304,"&gt;"&amp;J51)&gt;0,"Superseded",IF(COUNTIFS($C$5:$C$304,C51,$F$5:$F$304,F51,$R$5:$R$304,"&gt;="&amp;J51)&gt;0,"Decertified",IF(K51&lt;TODAY(),"Expired","Active"))))))</f>
        <v/>
      </c>
      <c r="V51" s="37"/>
      <c r="W51" s="12"/>
    </row>
    <row r="52" customFormat="false" ht="15" hidden="false" customHeight="false" outlineLevel="0" collapsed="false">
      <c r="A52" s="37"/>
      <c r="B52" s="38"/>
      <c r="C52" s="37"/>
      <c r="D52" s="31" t="str">
        <f aca="false">IF($C52="","",IFERROR(INDEX(Employee_Master!$B$5:$B$104,MATCH($C52,Employee_Master!$A$5:$A$104,0)),"ID not found"))</f>
        <v/>
      </c>
      <c r="E52" s="31" t="str">
        <f aca="false">IF($C52="","",IFERROR(INDEX(Employee_Master!$C$5:$C$104,MATCH($C52,Employee_Master!$A$5:$A$104,0)),"ID not found"))</f>
        <v/>
      </c>
      <c r="F52" s="37"/>
      <c r="G52" s="37"/>
      <c r="H52" s="37"/>
      <c r="I52" s="39"/>
      <c r="J52" s="38"/>
      <c r="K52" s="40" t="str">
        <f aca="false">IF(J52="","",EDATE(J52,Reference_Data!$AL$5))</f>
        <v/>
      </c>
      <c r="L52" s="37"/>
      <c r="M52" s="12"/>
      <c r="N52" s="41"/>
      <c r="O52" s="37"/>
      <c r="P52" s="31" t="str">
        <f aca="false">IF(O52="","",IFERROR(INDEX(Reference_Data!$J$5:$J$14,MATCH(O52,Reference_Data!$H$5:$H$14,0)),""))</f>
        <v/>
      </c>
      <c r="Q52" s="37"/>
      <c r="R52" s="38"/>
      <c r="S52" s="12"/>
      <c r="T52" s="40" t="str">
        <f aca="false">IF(R52="","",R52+Reference_Data!$AL$6)</f>
        <v/>
      </c>
      <c r="U52" s="31" t="str">
        <f aca="true">IF(C52="","",IF(Q52="Yes","Decertification Record",IF(J52="","—",IF(COUNTIFS($C$5:$C$304,C52,$F$5:$F$304,F52,$J$5:$J$304,"&gt;"&amp;J52)&gt;0,"Superseded",IF(COUNTIFS($C$5:$C$304,C52,$F$5:$F$304,F52,$R$5:$R$304,"&gt;="&amp;J52)&gt;0,"Decertified",IF(K52&lt;TODAY(),"Expired","Active"))))))</f>
        <v/>
      </c>
      <c r="V52" s="37"/>
      <c r="W52" s="12"/>
    </row>
    <row r="53" customFormat="false" ht="15" hidden="false" customHeight="false" outlineLevel="0" collapsed="false">
      <c r="A53" s="37"/>
      <c r="B53" s="38"/>
      <c r="C53" s="37"/>
      <c r="D53" s="31" t="str">
        <f aca="false">IF($C53="","",IFERROR(INDEX(Employee_Master!$B$5:$B$104,MATCH($C53,Employee_Master!$A$5:$A$104,0)),"ID not found"))</f>
        <v/>
      </c>
      <c r="E53" s="31" t="str">
        <f aca="false">IF($C53="","",IFERROR(INDEX(Employee_Master!$C$5:$C$104,MATCH($C53,Employee_Master!$A$5:$A$104,0)),"ID not found"))</f>
        <v/>
      </c>
      <c r="F53" s="37"/>
      <c r="G53" s="37"/>
      <c r="H53" s="37"/>
      <c r="I53" s="39"/>
      <c r="J53" s="38"/>
      <c r="K53" s="40" t="str">
        <f aca="false">IF(J53="","",EDATE(J53,Reference_Data!$AL$5))</f>
        <v/>
      </c>
      <c r="L53" s="37"/>
      <c r="M53" s="12"/>
      <c r="N53" s="41"/>
      <c r="O53" s="37"/>
      <c r="P53" s="31" t="str">
        <f aca="false">IF(O53="","",IFERROR(INDEX(Reference_Data!$J$5:$J$14,MATCH(O53,Reference_Data!$H$5:$H$14,0)),""))</f>
        <v/>
      </c>
      <c r="Q53" s="37"/>
      <c r="R53" s="38"/>
      <c r="S53" s="12"/>
      <c r="T53" s="40" t="str">
        <f aca="false">IF(R53="","",R53+Reference_Data!$AL$6)</f>
        <v/>
      </c>
      <c r="U53" s="31" t="str">
        <f aca="true">IF(C53="","",IF(Q53="Yes","Decertification Record",IF(J53="","—",IF(COUNTIFS($C$5:$C$304,C53,$F$5:$F$304,F53,$J$5:$J$304,"&gt;"&amp;J53)&gt;0,"Superseded",IF(COUNTIFS($C$5:$C$304,C53,$F$5:$F$304,F53,$R$5:$R$304,"&gt;="&amp;J53)&gt;0,"Decertified",IF(K53&lt;TODAY(),"Expired","Active"))))))</f>
        <v/>
      </c>
      <c r="V53" s="37"/>
      <c r="W53" s="12"/>
    </row>
    <row r="54" customFormat="false" ht="15" hidden="false" customHeight="false" outlineLevel="0" collapsed="false">
      <c r="A54" s="37"/>
      <c r="B54" s="38"/>
      <c r="C54" s="37"/>
      <c r="D54" s="31" t="str">
        <f aca="false">IF($C54="","",IFERROR(INDEX(Employee_Master!$B$5:$B$104,MATCH($C54,Employee_Master!$A$5:$A$104,0)),"ID not found"))</f>
        <v/>
      </c>
      <c r="E54" s="31" t="str">
        <f aca="false">IF($C54="","",IFERROR(INDEX(Employee_Master!$C$5:$C$104,MATCH($C54,Employee_Master!$A$5:$A$104,0)),"ID not found"))</f>
        <v/>
      </c>
      <c r="F54" s="37"/>
      <c r="G54" s="37"/>
      <c r="H54" s="37"/>
      <c r="I54" s="39"/>
      <c r="J54" s="38"/>
      <c r="K54" s="40" t="str">
        <f aca="false">IF(J54="","",EDATE(J54,Reference_Data!$AL$5))</f>
        <v/>
      </c>
      <c r="L54" s="37"/>
      <c r="M54" s="12"/>
      <c r="N54" s="41"/>
      <c r="O54" s="37"/>
      <c r="P54" s="31" t="str">
        <f aca="false">IF(O54="","",IFERROR(INDEX(Reference_Data!$J$5:$J$14,MATCH(O54,Reference_Data!$H$5:$H$14,0)),""))</f>
        <v/>
      </c>
      <c r="Q54" s="37"/>
      <c r="R54" s="38"/>
      <c r="S54" s="12"/>
      <c r="T54" s="40" t="str">
        <f aca="false">IF(R54="","",R54+Reference_Data!$AL$6)</f>
        <v/>
      </c>
      <c r="U54" s="31" t="str">
        <f aca="true">IF(C54="","",IF(Q54="Yes","Decertification Record",IF(J54="","—",IF(COUNTIFS($C$5:$C$304,C54,$F$5:$F$304,F54,$J$5:$J$304,"&gt;"&amp;J54)&gt;0,"Superseded",IF(COUNTIFS($C$5:$C$304,C54,$F$5:$F$304,F54,$R$5:$R$304,"&gt;="&amp;J54)&gt;0,"Decertified",IF(K54&lt;TODAY(),"Expired","Active"))))))</f>
        <v/>
      </c>
      <c r="V54" s="37"/>
      <c r="W54" s="12"/>
    </row>
    <row r="55" customFormat="false" ht="15" hidden="false" customHeight="false" outlineLevel="0" collapsed="false">
      <c r="A55" s="37"/>
      <c r="B55" s="38"/>
      <c r="C55" s="37"/>
      <c r="D55" s="31" t="str">
        <f aca="false">IF($C55="","",IFERROR(INDEX(Employee_Master!$B$5:$B$104,MATCH($C55,Employee_Master!$A$5:$A$104,0)),"ID not found"))</f>
        <v/>
      </c>
      <c r="E55" s="31" t="str">
        <f aca="false">IF($C55="","",IFERROR(INDEX(Employee_Master!$C$5:$C$104,MATCH($C55,Employee_Master!$A$5:$A$104,0)),"ID not found"))</f>
        <v/>
      </c>
      <c r="F55" s="37"/>
      <c r="G55" s="37"/>
      <c r="H55" s="37"/>
      <c r="I55" s="39"/>
      <c r="J55" s="38"/>
      <c r="K55" s="40" t="str">
        <f aca="false">IF(J55="","",EDATE(J55,Reference_Data!$AL$5))</f>
        <v/>
      </c>
      <c r="L55" s="37"/>
      <c r="M55" s="12"/>
      <c r="N55" s="41"/>
      <c r="O55" s="37"/>
      <c r="P55" s="31" t="str">
        <f aca="false">IF(O55="","",IFERROR(INDEX(Reference_Data!$J$5:$J$14,MATCH(O55,Reference_Data!$H$5:$H$14,0)),""))</f>
        <v/>
      </c>
      <c r="Q55" s="37"/>
      <c r="R55" s="38"/>
      <c r="S55" s="12"/>
      <c r="T55" s="40" t="str">
        <f aca="false">IF(R55="","",R55+Reference_Data!$AL$6)</f>
        <v/>
      </c>
      <c r="U55" s="31" t="str">
        <f aca="true">IF(C55="","",IF(Q55="Yes","Decertification Record",IF(J55="","—",IF(COUNTIFS($C$5:$C$304,C55,$F$5:$F$304,F55,$J$5:$J$304,"&gt;"&amp;J55)&gt;0,"Superseded",IF(COUNTIFS($C$5:$C$304,C55,$F$5:$F$304,F55,$R$5:$R$304,"&gt;="&amp;J55)&gt;0,"Decertified",IF(K55&lt;TODAY(),"Expired","Active"))))))</f>
        <v/>
      </c>
      <c r="V55" s="37"/>
      <c r="W55" s="12"/>
    </row>
    <row r="56" customFormat="false" ht="15" hidden="false" customHeight="false" outlineLevel="0" collapsed="false">
      <c r="A56" s="37"/>
      <c r="B56" s="38"/>
      <c r="C56" s="37"/>
      <c r="D56" s="31" t="str">
        <f aca="false">IF($C56="","",IFERROR(INDEX(Employee_Master!$B$5:$B$104,MATCH($C56,Employee_Master!$A$5:$A$104,0)),"ID not found"))</f>
        <v/>
      </c>
      <c r="E56" s="31" t="str">
        <f aca="false">IF($C56="","",IFERROR(INDEX(Employee_Master!$C$5:$C$104,MATCH($C56,Employee_Master!$A$5:$A$104,0)),"ID not found"))</f>
        <v/>
      </c>
      <c r="F56" s="37"/>
      <c r="G56" s="37"/>
      <c r="H56" s="37"/>
      <c r="I56" s="39"/>
      <c r="J56" s="38"/>
      <c r="K56" s="40" t="str">
        <f aca="false">IF(J56="","",EDATE(J56,Reference_Data!$AL$5))</f>
        <v/>
      </c>
      <c r="L56" s="37"/>
      <c r="M56" s="12"/>
      <c r="N56" s="41"/>
      <c r="O56" s="37"/>
      <c r="P56" s="31" t="str">
        <f aca="false">IF(O56="","",IFERROR(INDEX(Reference_Data!$J$5:$J$14,MATCH(O56,Reference_Data!$H$5:$H$14,0)),""))</f>
        <v/>
      </c>
      <c r="Q56" s="37"/>
      <c r="R56" s="38"/>
      <c r="S56" s="12"/>
      <c r="T56" s="40" t="str">
        <f aca="false">IF(R56="","",R56+Reference_Data!$AL$6)</f>
        <v/>
      </c>
      <c r="U56" s="31" t="str">
        <f aca="true">IF(C56="","",IF(Q56="Yes","Decertification Record",IF(J56="","—",IF(COUNTIFS($C$5:$C$304,C56,$F$5:$F$304,F56,$J$5:$J$304,"&gt;"&amp;J56)&gt;0,"Superseded",IF(COUNTIFS($C$5:$C$304,C56,$F$5:$F$304,F56,$R$5:$R$304,"&gt;="&amp;J56)&gt;0,"Decertified",IF(K56&lt;TODAY(),"Expired","Active"))))))</f>
        <v/>
      </c>
      <c r="V56" s="37"/>
      <c r="W56" s="12"/>
    </row>
    <row r="57" customFormat="false" ht="15" hidden="false" customHeight="false" outlineLevel="0" collapsed="false">
      <c r="A57" s="37"/>
      <c r="B57" s="38"/>
      <c r="C57" s="37"/>
      <c r="D57" s="31" t="str">
        <f aca="false">IF($C57="","",IFERROR(INDEX(Employee_Master!$B$5:$B$104,MATCH($C57,Employee_Master!$A$5:$A$104,0)),"ID not found"))</f>
        <v/>
      </c>
      <c r="E57" s="31" t="str">
        <f aca="false">IF($C57="","",IFERROR(INDEX(Employee_Master!$C$5:$C$104,MATCH($C57,Employee_Master!$A$5:$A$104,0)),"ID not found"))</f>
        <v/>
      </c>
      <c r="F57" s="37"/>
      <c r="G57" s="37"/>
      <c r="H57" s="37"/>
      <c r="I57" s="39"/>
      <c r="J57" s="38"/>
      <c r="K57" s="40" t="str">
        <f aca="false">IF(J57="","",EDATE(J57,Reference_Data!$AL$5))</f>
        <v/>
      </c>
      <c r="L57" s="37"/>
      <c r="M57" s="12"/>
      <c r="N57" s="41"/>
      <c r="O57" s="37"/>
      <c r="P57" s="31" t="str">
        <f aca="false">IF(O57="","",IFERROR(INDEX(Reference_Data!$J$5:$J$14,MATCH(O57,Reference_Data!$H$5:$H$14,0)),""))</f>
        <v/>
      </c>
      <c r="Q57" s="37"/>
      <c r="R57" s="38"/>
      <c r="S57" s="12"/>
      <c r="T57" s="40" t="str">
        <f aca="false">IF(R57="","",R57+Reference_Data!$AL$6)</f>
        <v/>
      </c>
      <c r="U57" s="31" t="str">
        <f aca="true">IF(C57="","",IF(Q57="Yes","Decertification Record",IF(J57="","—",IF(COUNTIFS($C$5:$C$304,C57,$F$5:$F$304,F57,$J$5:$J$304,"&gt;"&amp;J57)&gt;0,"Superseded",IF(COUNTIFS($C$5:$C$304,C57,$F$5:$F$304,F57,$R$5:$R$304,"&gt;="&amp;J57)&gt;0,"Decertified",IF(K57&lt;TODAY(),"Expired","Active"))))))</f>
        <v/>
      </c>
      <c r="V57" s="37"/>
      <c r="W57" s="12"/>
    </row>
    <row r="58" customFormat="false" ht="15" hidden="false" customHeight="false" outlineLevel="0" collapsed="false">
      <c r="A58" s="37"/>
      <c r="B58" s="38"/>
      <c r="C58" s="37"/>
      <c r="D58" s="31" t="str">
        <f aca="false">IF($C58="","",IFERROR(INDEX(Employee_Master!$B$5:$B$104,MATCH($C58,Employee_Master!$A$5:$A$104,0)),"ID not found"))</f>
        <v/>
      </c>
      <c r="E58" s="31" t="str">
        <f aca="false">IF($C58="","",IFERROR(INDEX(Employee_Master!$C$5:$C$104,MATCH($C58,Employee_Master!$A$5:$A$104,0)),"ID not found"))</f>
        <v/>
      </c>
      <c r="F58" s="37"/>
      <c r="G58" s="37"/>
      <c r="H58" s="37"/>
      <c r="I58" s="39"/>
      <c r="J58" s="38"/>
      <c r="K58" s="40" t="str">
        <f aca="false">IF(J58="","",EDATE(J58,Reference_Data!$AL$5))</f>
        <v/>
      </c>
      <c r="L58" s="37"/>
      <c r="M58" s="12"/>
      <c r="N58" s="41"/>
      <c r="O58" s="37"/>
      <c r="P58" s="31" t="str">
        <f aca="false">IF(O58="","",IFERROR(INDEX(Reference_Data!$J$5:$J$14,MATCH(O58,Reference_Data!$H$5:$H$14,0)),""))</f>
        <v/>
      </c>
      <c r="Q58" s="37"/>
      <c r="R58" s="38"/>
      <c r="S58" s="12"/>
      <c r="T58" s="40" t="str">
        <f aca="false">IF(R58="","",R58+Reference_Data!$AL$6)</f>
        <v/>
      </c>
      <c r="U58" s="31" t="str">
        <f aca="true">IF(C58="","",IF(Q58="Yes","Decertification Record",IF(J58="","—",IF(COUNTIFS($C$5:$C$304,C58,$F$5:$F$304,F58,$J$5:$J$304,"&gt;"&amp;J58)&gt;0,"Superseded",IF(COUNTIFS($C$5:$C$304,C58,$F$5:$F$304,F58,$R$5:$R$304,"&gt;="&amp;J58)&gt;0,"Decertified",IF(K58&lt;TODAY(),"Expired","Active"))))))</f>
        <v/>
      </c>
      <c r="V58" s="37"/>
      <c r="W58" s="12"/>
    </row>
    <row r="59" customFormat="false" ht="15" hidden="false" customHeight="false" outlineLevel="0" collapsed="false">
      <c r="A59" s="37"/>
      <c r="B59" s="38"/>
      <c r="C59" s="37"/>
      <c r="D59" s="31" t="str">
        <f aca="false">IF($C59="","",IFERROR(INDEX(Employee_Master!$B$5:$B$104,MATCH($C59,Employee_Master!$A$5:$A$104,0)),"ID not found"))</f>
        <v/>
      </c>
      <c r="E59" s="31" t="str">
        <f aca="false">IF($C59="","",IFERROR(INDEX(Employee_Master!$C$5:$C$104,MATCH($C59,Employee_Master!$A$5:$A$104,0)),"ID not found"))</f>
        <v/>
      </c>
      <c r="F59" s="37"/>
      <c r="G59" s="37"/>
      <c r="H59" s="37"/>
      <c r="I59" s="39"/>
      <c r="J59" s="38"/>
      <c r="K59" s="40" t="str">
        <f aca="false">IF(J59="","",EDATE(J59,Reference_Data!$AL$5))</f>
        <v/>
      </c>
      <c r="L59" s="37"/>
      <c r="M59" s="12"/>
      <c r="N59" s="41"/>
      <c r="O59" s="37"/>
      <c r="P59" s="31" t="str">
        <f aca="false">IF(O59="","",IFERROR(INDEX(Reference_Data!$J$5:$J$14,MATCH(O59,Reference_Data!$H$5:$H$14,0)),""))</f>
        <v/>
      </c>
      <c r="Q59" s="37"/>
      <c r="R59" s="38"/>
      <c r="S59" s="12"/>
      <c r="T59" s="40" t="str">
        <f aca="false">IF(R59="","",R59+Reference_Data!$AL$6)</f>
        <v/>
      </c>
      <c r="U59" s="31" t="str">
        <f aca="true">IF(C59="","",IF(Q59="Yes","Decertification Record",IF(J59="","—",IF(COUNTIFS($C$5:$C$304,C59,$F$5:$F$304,F59,$J$5:$J$304,"&gt;"&amp;J59)&gt;0,"Superseded",IF(COUNTIFS($C$5:$C$304,C59,$F$5:$F$304,F59,$R$5:$R$304,"&gt;="&amp;J59)&gt;0,"Decertified",IF(K59&lt;TODAY(),"Expired","Active"))))))</f>
        <v/>
      </c>
      <c r="V59" s="37"/>
      <c r="W59" s="12"/>
    </row>
    <row r="60" customFormat="false" ht="15" hidden="false" customHeight="false" outlineLevel="0" collapsed="false">
      <c r="A60" s="37"/>
      <c r="B60" s="38"/>
      <c r="C60" s="37"/>
      <c r="D60" s="31" t="str">
        <f aca="false">IF($C60="","",IFERROR(INDEX(Employee_Master!$B$5:$B$104,MATCH($C60,Employee_Master!$A$5:$A$104,0)),"ID not found"))</f>
        <v/>
      </c>
      <c r="E60" s="31" t="str">
        <f aca="false">IF($C60="","",IFERROR(INDEX(Employee_Master!$C$5:$C$104,MATCH($C60,Employee_Master!$A$5:$A$104,0)),"ID not found"))</f>
        <v/>
      </c>
      <c r="F60" s="37"/>
      <c r="G60" s="37"/>
      <c r="H60" s="37"/>
      <c r="I60" s="39"/>
      <c r="J60" s="38"/>
      <c r="K60" s="40" t="str">
        <f aca="false">IF(J60="","",EDATE(J60,Reference_Data!$AL$5))</f>
        <v/>
      </c>
      <c r="L60" s="37"/>
      <c r="M60" s="12"/>
      <c r="N60" s="41"/>
      <c r="O60" s="37"/>
      <c r="P60" s="31" t="str">
        <f aca="false">IF(O60="","",IFERROR(INDEX(Reference_Data!$J$5:$J$14,MATCH(O60,Reference_Data!$H$5:$H$14,0)),""))</f>
        <v/>
      </c>
      <c r="Q60" s="37"/>
      <c r="R60" s="38"/>
      <c r="S60" s="12"/>
      <c r="T60" s="40" t="str">
        <f aca="false">IF(R60="","",R60+Reference_Data!$AL$6)</f>
        <v/>
      </c>
      <c r="U60" s="31" t="str">
        <f aca="true">IF(C60="","",IF(Q60="Yes","Decertification Record",IF(J60="","—",IF(COUNTIFS($C$5:$C$304,C60,$F$5:$F$304,F60,$J$5:$J$304,"&gt;"&amp;J60)&gt;0,"Superseded",IF(COUNTIFS($C$5:$C$304,C60,$F$5:$F$304,F60,$R$5:$R$304,"&gt;="&amp;J60)&gt;0,"Decertified",IF(K60&lt;TODAY(),"Expired","Active"))))))</f>
        <v/>
      </c>
      <c r="V60" s="37"/>
      <c r="W60" s="12"/>
    </row>
    <row r="61" customFormat="false" ht="15" hidden="false" customHeight="false" outlineLevel="0" collapsed="false">
      <c r="A61" s="37"/>
      <c r="B61" s="38"/>
      <c r="C61" s="37"/>
      <c r="D61" s="31" t="str">
        <f aca="false">IF($C61="","",IFERROR(INDEX(Employee_Master!$B$5:$B$104,MATCH($C61,Employee_Master!$A$5:$A$104,0)),"ID not found"))</f>
        <v/>
      </c>
      <c r="E61" s="31" t="str">
        <f aca="false">IF($C61="","",IFERROR(INDEX(Employee_Master!$C$5:$C$104,MATCH($C61,Employee_Master!$A$5:$A$104,0)),"ID not found"))</f>
        <v/>
      </c>
      <c r="F61" s="37"/>
      <c r="G61" s="37"/>
      <c r="H61" s="37"/>
      <c r="I61" s="39"/>
      <c r="J61" s="38"/>
      <c r="K61" s="40" t="str">
        <f aca="false">IF(J61="","",EDATE(J61,Reference_Data!$AL$5))</f>
        <v/>
      </c>
      <c r="L61" s="37"/>
      <c r="M61" s="12"/>
      <c r="N61" s="41"/>
      <c r="O61" s="37"/>
      <c r="P61" s="31" t="str">
        <f aca="false">IF(O61="","",IFERROR(INDEX(Reference_Data!$J$5:$J$14,MATCH(O61,Reference_Data!$H$5:$H$14,0)),""))</f>
        <v/>
      </c>
      <c r="Q61" s="37"/>
      <c r="R61" s="38"/>
      <c r="S61" s="12"/>
      <c r="T61" s="40" t="str">
        <f aca="false">IF(R61="","",R61+Reference_Data!$AL$6)</f>
        <v/>
      </c>
      <c r="U61" s="31" t="str">
        <f aca="true">IF(C61="","",IF(Q61="Yes","Decertification Record",IF(J61="","—",IF(COUNTIFS($C$5:$C$304,C61,$F$5:$F$304,F61,$J$5:$J$304,"&gt;"&amp;J61)&gt;0,"Superseded",IF(COUNTIFS($C$5:$C$304,C61,$F$5:$F$304,F61,$R$5:$R$304,"&gt;="&amp;J61)&gt;0,"Decertified",IF(K61&lt;TODAY(),"Expired","Active"))))))</f>
        <v/>
      </c>
      <c r="V61" s="37"/>
      <c r="W61" s="12"/>
    </row>
    <row r="62" customFormat="false" ht="15" hidden="false" customHeight="false" outlineLevel="0" collapsed="false">
      <c r="A62" s="37"/>
      <c r="B62" s="38"/>
      <c r="C62" s="37"/>
      <c r="D62" s="31" t="str">
        <f aca="false">IF($C62="","",IFERROR(INDEX(Employee_Master!$B$5:$B$104,MATCH($C62,Employee_Master!$A$5:$A$104,0)),"ID not found"))</f>
        <v/>
      </c>
      <c r="E62" s="31" t="str">
        <f aca="false">IF($C62="","",IFERROR(INDEX(Employee_Master!$C$5:$C$104,MATCH($C62,Employee_Master!$A$5:$A$104,0)),"ID not found"))</f>
        <v/>
      </c>
      <c r="F62" s="37"/>
      <c r="G62" s="37"/>
      <c r="H62" s="37"/>
      <c r="I62" s="39"/>
      <c r="J62" s="38"/>
      <c r="K62" s="40" t="str">
        <f aca="false">IF(J62="","",EDATE(J62,Reference_Data!$AL$5))</f>
        <v/>
      </c>
      <c r="L62" s="37"/>
      <c r="M62" s="12"/>
      <c r="N62" s="41"/>
      <c r="O62" s="37"/>
      <c r="P62" s="31" t="str">
        <f aca="false">IF(O62="","",IFERROR(INDEX(Reference_Data!$J$5:$J$14,MATCH(O62,Reference_Data!$H$5:$H$14,0)),""))</f>
        <v/>
      </c>
      <c r="Q62" s="37"/>
      <c r="R62" s="38"/>
      <c r="S62" s="12"/>
      <c r="T62" s="40" t="str">
        <f aca="false">IF(R62="","",R62+Reference_Data!$AL$6)</f>
        <v/>
      </c>
      <c r="U62" s="31" t="str">
        <f aca="true">IF(C62="","",IF(Q62="Yes","Decertification Record",IF(J62="","—",IF(COUNTIFS($C$5:$C$304,C62,$F$5:$F$304,F62,$J$5:$J$304,"&gt;"&amp;J62)&gt;0,"Superseded",IF(COUNTIFS($C$5:$C$304,C62,$F$5:$F$304,F62,$R$5:$R$304,"&gt;="&amp;J62)&gt;0,"Decertified",IF(K62&lt;TODAY(),"Expired","Active"))))))</f>
        <v/>
      </c>
      <c r="V62" s="37"/>
      <c r="W62" s="12"/>
    </row>
    <row r="63" customFormat="false" ht="15" hidden="false" customHeight="false" outlineLevel="0" collapsed="false">
      <c r="A63" s="37"/>
      <c r="B63" s="38"/>
      <c r="C63" s="37"/>
      <c r="D63" s="31" t="str">
        <f aca="false">IF($C63="","",IFERROR(INDEX(Employee_Master!$B$5:$B$104,MATCH($C63,Employee_Master!$A$5:$A$104,0)),"ID not found"))</f>
        <v/>
      </c>
      <c r="E63" s="31" t="str">
        <f aca="false">IF($C63="","",IFERROR(INDEX(Employee_Master!$C$5:$C$104,MATCH($C63,Employee_Master!$A$5:$A$104,0)),"ID not found"))</f>
        <v/>
      </c>
      <c r="F63" s="37"/>
      <c r="G63" s="37"/>
      <c r="H63" s="37"/>
      <c r="I63" s="39"/>
      <c r="J63" s="38"/>
      <c r="K63" s="40" t="str">
        <f aca="false">IF(J63="","",EDATE(J63,Reference_Data!$AL$5))</f>
        <v/>
      </c>
      <c r="L63" s="37"/>
      <c r="M63" s="12"/>
      <c r="N63" s="41"/>
      <c r="O63" s="37"/>
      <c r="P63" s="31" t="str">
        <f aca="false">IF(O63="","",IFERROR(INDEX(Reference_Data!$J$5:$J$14,MATCH(O63,Reference_Data!$H$5:$H$14,0)),""))</f>
        <v/>
      </c>
      <c r="Q63" s="37"/>
      <c r="R63" s="38"/>
      <c r="S63" s="12"/>
      <c r="T63" s="40" t="str">
        <f aca="false">IF(R63="","",R63+Reference_Data!$AL$6)</f>
        <v/>
      </c>
      <c r="U63" s="31" t="str">
        <f aca="true">IF(C63="","",IF(Q63="Yes","Decertification Record",IF(J63="","—",IF(COUNTIFS($C$5:$C$304,C63,$F$5:$F$304,F63,$J$5:$J$304,"&gt;"&amp;J63)&gt;0,"Superseded",IF(COUNTIFS($C$5:$C$304,C63,$F$5:$F$304,F63,$R$5:$R$304,"&gt;="&amp;J63)&gt;0,"Decertified",IF(K63&lt;TODAY(),"Expired","Active"))))))</f>
        <v/>
      </c>
      <c r="V63" s="37"/>
      <c r="W63" s="12"/>
    </row>
    <row r="64" customFormat="false" ht="15" hidden="false" customHeight="false" outlineLevel="0" collapsed="false">
      <c r="A64" s="37"/>
      <c r="B64" s="38"/>
      <c r="C64" s="37"/>
      <c r="D64" s="31" t="str">
        <f aca="false">IF($C64="","",IFERROR(INDEX(Employee_Master!$B$5:$B$104,MATCH($C64,Employee_Master!$A$5:$A$104,0)),"ID not found"))</f>
        <v/>
      </c>
      <c r="E64" s="31" t="str">
        <f aca="false">IF($C64="","",IFERROR(INDEX(Employee_Master!$C$5:$C$104,MATCH($C64,Employee_Master!$A$5:$A$104,0)),"ID not found"))</f>
        <v/>
      </c>
      <c r="F64" s="37"/>
      <c r="G64" s="37"/>
      <c r="H64" s="37"/>
      <c r="I64" s="39"/>
      <c r="J64" s="38"/>
      <c r="K64" s="40" t="str">
        <f aca="false">IF(J64="","",EDATE(J64,Reference_Data!$AL$5))</f>
        <v/>
      </c>
      <c r="L64" s="37"/>
      <c r="M64" s="12"/>
      <c r="N64" s="41"/>
      <c r="O64" s="37"/>
      <c r="P64" s="31" t="str">
        <f aca="false">IF(O64="","",IFERROR(INDEX(Reference_Data!$J$5:$J$14,MATCH(O64,Reference_Data!$H$5:$H$14,0)),""))</f>
        <v/>
      </c>
      <c r="Q64" s="37"/>
      <c r="R64" s="38"/>
      <c r="S64" s="12"/>
      <c r="T64" s="40" t="str">
        <f aca="false">IF(R64="","",R64+Reference_Data!$AL$6)</f>
        <v/>
      </c>
      <c r="U64" s="31" t="str">
        <f aca="true">IF(C64="","",IF(Q64="Yes","Decertification Record",IF(J64="","—",IF(COUNTIFS($C$5:$C$304,C64,$F$5:$F$304,F64,$J$5:$J$304,"&gt;"&amp;J64)&gt;0,"Superseded",IF(COUNTIFS($C$5:$C$304,C64,$F$5:$F$304,F64,$R$5:$R$304,"&gt;="&amp;J64)&gt;0,"Decertified",IF(K64&lt;TODAY(),"Expired","Active"))))))</f>
        <v/>
      </c>
      <c r="V64" s="37"/>
      <c r="W64" s="12"/>
    </row>
    <row r="65" customFormat="false" ht="15" hidden="false" customHeight="false" outlineLevel="0" collapsed="false">
      <c r="A65" s="37"/>
      <c r="B65" s="38"/>
      <c r="C65" s="37"/>
      <c r="D65" s="31" t="str">
        <f aca="false">IF($C65="","",IFERROR(INDEX(Employee_Master!$B$5:$B$104,MATCH($C65,Employee_Master!$A$5:$A$104,0)),"ID not found"))</f>
        <v/>
      </c>
      <c r="E65" s="31" t="str">
        <f aca="false">IF($C65="","",IFERROR(INDEX(Employee_Master!$C$5:$C$104,MATCH($C65,Employee_Master!$A$5:$A$104,0)),"ID not found"))</f>
        <v/>
      </c>
      <c r="F65" s="37"/>
      <c r="G65" s="37"/>
      <c r="H65" s="37"/>
      <c r="I65" s="39"/>
      <c r="J65" s="38"/>
      <c r="K65" s="40" t="str">
        <f aca="false">IF(J65="","",EDATE(J65,Reference_Data!$AL$5))</f>
        <v/>
      </c>
      <c r="L65" s="37"/>
      <c r="M65" s="12"/>
      <c r="N65" s="41"/>
      <c r="O65" s="37"/>
      <c r="P65" s="31" t="str">
        <f aca="false">IF(O65="","",IFERROR(INDEX(Reference_Data!$J$5:$J$14,MATCH(O65,Reference_Data!$H$5:$H$14,0)),""))</f>
        <v/>
      </c>
      <c r="Q65" s="37"/>
      <c r="R65" s="38"/>
      <c r="S65" s="12"/>
      <c r="T65" s="40" t="str">
        <f aca="false">IF(R65="","",R65+Reference_Data!$AL$6)</f>
        <v/>
      </c>
      <c r="U65" s="31" t="str">
        <f aca="true">IF(C65="","",IF(Q65="Yes","Decertification Record",IF(J65="","—",IF(COUNTIFS($C$5:$C$304,C65,$F$5:$F$304,F65,$J$5:$J$304,"&gt;"&amp;J65)&gt;0,"Superseded",IF(COUNTIFS($C$5:$C$304,C65,$F$5:$F$304,F65,$R$5:$R$304,"&gt;="&amp;J65)&gt;0,"Decertified",IF(K65&lt;TODAY(),"Expired","Active"))))))</f>
        <v/>
      </c>
      <c r="V65" s="37"/>
      <c r="W65" s="12"/>
    </row>
    <row r="66" customFormat="false" ht="15" hidden="false" customHeight="false" outlineLevel="0" collapsed="false">
      <c r="A66" s="37"/>
      <c r="B66" s="38"/>
      <c r="C66" s="37"/>
      <c r="D66" s="31" t="str">
        <f aca="false">IF($C66="","",IFERROR(INDEX(Employee_Master!$B$5:$B$104,MATCH($C66,Employee_Master!$A$5:$A$104,0)),"ID not found"))</f>
        <v/>
      </c>
      <c r="E66" s="31" t="str">
        <f aca="false">IF($C66="","",IFERROR(INDEX(Employee_Master!$C$5:$C$104,MATCH($C66,Employee_Master!$A$5:$A$104,0)),"ID not found"))</f>
        <v/>
      </c>
      <c r="F66" s="37"/>
      <c r="G66" s="37"/>
      <c r="H66" s="37"/>
      <c r="I66" s="39"/>
      <c r="J66" s="38"/>
      <c r="K66" s="40" t="str">
        <f aca="false">IF(J66="","",EDATE(J66,Reference_Data!$AL$5))</f>
        <v/>
      </c>
      <c r="L66" s="37"/>
      <c r="M66" s="12"/>
      <c r="N66" s="41"/>
      <c r="O66" s="37"/>
      <c r="P66" s="31" t="str">
        <f aca="false">IF(O66="","",IFERROR(INDEX(Reference_Data!$J$5:$J$14,MATCH(O66,Reference_Data!$H$5:$H$14,0)),""))</f>
        <v/>
      </c>
      <c r="Q66" s="37"/>
      <c r="R66" s="38"/>
      <c r="S66" s="12"/>
      <c r="T66" s="40" t="str">
        <f aca="false">IF(R66="","",R66+Reference_Data!$AL$6)</f>
        <v/>
      </c>
      <c r="U66" s="31" t="str">
        <f aca="true">IF(C66="","",IF(Q66="Yes","Decertification Record",IF(J66="","—",IF(COUNTIFS($C$5:$C$304,C66,$F$5:$F$304,F66,$J$5:$J$304,"&gt;"&amp;J66)&gt;0,"Superseded",IF(COUNTIFS($C$5:$C$304,C66,$F$5:$F$304,F66,$R$5:$R$304,"&gt;="&amp;J66)&gt;0,"Decertified",IF(K66&lt;TODAY(),"Expired","Active"))))))</f>
        <v/>
      </c>
      <c r="V66" s="37"/>
      <c r="W66" s="12"/>
    </row>
    <row r="67" customFormat="false" ht="15" hidden="false" customHeight="false" outlineLevel="0" collapsed="false">
      <c r="A67" s="37"/>
      <c r="B67" s="38"/>
      <c r="C67" s="37"/>
      <c r="D67" s="31" t="str">
        <f aca="false">IF($C67="","",IFERROR(INDEX(Employee_Master!$B$5:$B$104,MATCH($C67,Employee_Master!$A$5:$A$104,0)),"ID not found"))</f>
        <v/>
      </c>
      <c r="E67" s="31" t="str">
        <f aca="false">IF($C67="","",IFERROR(INDEX(Employee_Master!$C$5:$C$104,MATCH($C67,Employee_Master!$A$5:$A$104,0)),"ID not found"))</f>
        <v/>
      </c>
      <c r="F67" s="37"/>
      <c r="G67" s="37"/>
      <c r="H67" s="37"/>
      <c r="I67" s="39"/>
      <c r="J67" s="38"/>
      <c r="K67" s="40" t="str">
        <f aca="false">IF(J67="","",EDATE(J67,Reference_Data!$AL$5))</f>
        <v/>
      </c>
      <c r="L67" s="37"/>
      <c r="M67" s="12"/>
      <c r="N67" s="41"/>
      <c r="O67" s="37"/>
      <c r="P67" s="31" t="str">
        <f aca="false">IF(O67="","",IFERROR(INDEX(Reference_Data!$J$5:$J$14,MATCH(O67,Reference_Data!$H$5:$H$14,0)),""))</f>
        <v/>
      </c>
      <c r="Q67" s="37"/>
      <c r="R67" s="38"/>
      <c r="S67" s="12"/>
      <c r="T67" s="40" t="str">
        <f aca="false">IF(R67="","",R67+Reference_Data!$AL$6)</f>
        <v/>
      </c>
      <c r="U67" s="31" t="str">
        <f aca="true">IF(C67="","",IF(Q67="Yes","Decertification Record",IF(J67="","—",IF(COUNTIFS($C$5:$C$304,C67,$F$5:$F$304,F67,$J$5:$J$304,"&gt;"&amp;J67)&gt;0,"Superseded",IF(COUNTIFS($C$5:$C$304,C67,$F$5:$F$304,F67,$R$5:$R$304,"&gt;="&amp;J67)&gt;0,"Decertified",IF(K67&lt;TODAY(),"Expired","Active"))))))</f>
        <v/>
      </c>
      <c r="V67" s="37"/>
      <c r="W67" s="12"/>
    </row>
    <row r="68" customFormat="false" ht="15" hidden="false" customHeight="false" outlineLevel="0" collapsed="false">
      <c r="A68" s="37"/>
      <c r="B68" s="38"/>
      <c r="C68" s="37"/>
      <c r="D68" s="31" t="str">
        <f aca="false">IF($C68="","",IFERROR(INDEX(Employee_Master!$B$5:$B$104,MATCH($C68,Employee_Master!$A$5:$A$104,0)),"ID not found"))</f>
        <v/>
      </c>
      <c r="E68" s="31" t="str">
        <f aca="false">IF($C68="","",IFERROR(INDEX(Employee_Master!$C$5:$C$104,MATCH($C68,Employee_Master!$A$5:$A$104,0)),"ID not found"))</f>
        <v/>
      </c>
      <c r="F68" s="37"/>
      <c r="G68" s="37"/>
      <c r="H68" s="37"/>
      <c r="I68" s="39"/>
      <c r="J68" s="38"/>
      <c r="K68" s="40" t="str">
        <f aca="false">IF(J68="","",EDATE(J68,Reference_Data!$AL$5))</f>
        <v/>
      </c>
      <c r="L68" s="37"/>
      <c r="M68" s="12"/>
      <c r="N68" s="41"/>
      <c r="O68" s="37"/>
      <c r="P68" s="31" t="str">
        <f aca="false">IF(O68="","",IFERROR(INDEX(Reference_Data!$J$5:$J$14,MATCH(O68,Reference_Data!$H$5:$H$14,0)),""))</f>
        <v/>
      </c>
      <c r="Q68" s="37"/>
      <c r="R68" s="38"/>
      <c r="S68" s="12"/>
      <c r="T68" s="40" t="str">
        <f aca="false">IF(R68="","",R68+Reference_Data!$AL$6)</f>
        <v/>
      </c>
      <c r="U68" s="31" t="str">
        <f aca="true">IF(C68="","",IF(Q68="Yes","Decertification Record",IF(J68="","—",IF(COUNTIFS($C$5:$C$304,C68,$F$5:$F$304,F68,$J$5:$J$304,"&gt;"&amp;J68)&gt;0,"Superseded",IF(COUNTIFS($C$5:$C$304,C68,$F$5:$F$304,F68,$R$5:$R$304,"&gt;="&amp;J68)&gt;0,"Decertified",IF(K68&lt;TODAY(),"Expired","Active"))))))</f>
        <v/>
      </c>
      <c r="V68" s="37"/>
      <c r="W68" s="12"/>
    </row>
    <row r="69" customFormat="false" ht="15" hidden="false" customHeight="false" outlineLevel="0" collapsed="false">
      <c r="A69" s="37"/>
      <c r="B69" s="38"/>
      <c r="C69" s="37"/>
      <c r="D69" s="31" t="str">
        <f aca="false">IF($C69="","",IFERROR(INDEX(Employee_Master!$B$5:$B$104,MATCH($C69,Employee_Master!$A$5:$A$104,0)),"ID not found"))</f>
        <v/>
      </c>
      <c r="E69" s="31" t="str">
        <f aca="false">IF($C69="","",IFERROR(INDEX(Employee_Master!$C$5:$C$104,MATCH($C69,Employee_Master!$A$5:$A$104,0)),"ID not found"))</f>
        <v/>
      </c>
      <c r="F69" s="37"/>
      <c r="G69" s="37"/>
      <c r="H69" s="37"/>
      <c r="I69" s="39"/>
      <c r="J69" s="38"/>
      <c r="K69" s="40" t="str">
        <f aca="false">IF(J69="","",EDATE(J69,Reference_Data!$AL$5))</f>
        <v/>
      </c>
      <c r="L69" s="37"/>
      <c r="M69" s="12"/>
      <c r="N69" s="41"/>
      <c r="O69" s="37"/>
      <c r="P69" s="31" t="str">
        <f aca="false">IF(O69="","",IFERROR(INDEX(Reference_Data!$J$5:$J$14,MATCH(O69,Reference_Data!$H$5:$H$14,0)),""))</f>
        <v/>
      </c>
      <c r="Q69" s="37"/>
      <c r="R69" s="38"/>
      <c r="S69" s="12"/>
      <c r="T69" s="40" t="str">
        <f aca="false">IF(R69="","",R69+Reference_Data!$AL$6)</f>
        <v/>
      </c>
      <c r="U69" s="31" t="str">
        <f aca="true">IF(C69="","",IF(Q69="Yes","Decertification Record",IF(J69="","—",IF(COUNTIFS($C$5:$C$304,C69,$F$5:$F$304,F69,$J$5:$J$304,"&gt;"&amp;J69)&gt;0,"Superseded",IF(COUNTIFS($C$5:$C$304,C69,$F$5:$F$304,F69,$R$5:$R$304,"&gt;="&amp;J69)&gt;0,"Decertified",IF(K69&lt;TODAY(),"Expired","Active"))))))</f>
        <v/>
      </c>
      <c r="V69" s="37"/>
      <c r="W69" s="12"/>
    </row>
    <row r="70" customFormat="false" ht="15" hidden="false" customHeight="false" outlineLevel="0" collapsed="false">
      <c r="A70" s="37"/>
      <c r="B70" s="38"/>
      <c r="C70" s="37"/>
      <c r="D70" s="31" t="str">
        <f aca="false">IF($C70="","",IFERROR(INDEX(Employee_Master!$B$5:$B$104,MATCH($C70,Employee_Master!$A$5:$A$104,0)),"ID not found"))</f>
        <v/>
      </c>
      <c r="E70" s="31" t="str">
        <f aca="false">IF($C70="","",IFERROR(INDEX(Employee_Master!$C$5:$C$104,MATCH($C70,Employee_Master!$A$5:$A$104,0)),"ID not found"))</f>
        <v/>
      </c>
      <c r="F70" s="37"/>
      <c r="G70" s="37"/>
      <c r="H70" s="37"/>
      <c r="I70" s="39"/>
      <c r="J70" s="38"/>
      <c r="K70" s="40" t="str">
        <f aca="false">IF(J70="","",EDATE(J70,Reference_Data!$AL$5))</f>
        <v/>
      </c>
      <c r="L70" s="37"/>
      <c r="M70" s="12"/>
      <c r="N70" s="41"/>
      <c r="O70" s="37"/>
      <c r="P70" s="31" t="str">
        <f aca="false">IF(O70="","",IFERROR(INDEX(Reference_Data!$J$5:$J$14,MATCH(O70,Reference_Data!$H$5:$H$14,0)),""))</f>
        <v/>
      </c>
      <c r="Q70" s="37"/>
      <c r="R70" s="38"/>
      <c r="S70" s="12"/>
      <c r="T70" s="40" t="str">
        <f aca="false">IF(R70="","",R70+Reference_Data!$AL$6)</f>
        <v/>
      </c>
      <c r="U70" s="31" t="str">
        <f aca="true">IF(C70="","",IF(Q70="Yes","Decertification Record",IF(J70="","—",IF(COUNTIFS($C$5:$C$304,C70,$F$5:$F$304,F70,$J$5:$J$304,"&gt;"&amp;J70)&gt;0,"Superseded",IF(COUNTIFS($C$5:$C$304,C70,$F$5:$F$304,F70,$R$5:$R$304,"&gt;="&amp;J70)&gt;0,"Decertified",IF(K70&lt;TODAY(),"Expired","Active"))))))</f>
        <v/>
      </c>
      <c r="V70" s="37"/>
      <c r="W70" s="12"/>
    </row>
    <row r="71" customFormat="false" ht="15" hidden="false" customHeight="false" outlineLevel="0" collapsed="false">
      <c r="A71" s="37"/>
      <c r="B71" s="38"/>
      <c r="C71" s="37"/>
      <c r="D71" s="31" t="str">
        <f aca="false">IF($C71="","",IFERROR(INDEX(Employee_Master!$B$5:$B$104,MATCH($C71,Employee_Master!$A$5:$A$104,0)),"ID not found"))</f>
        <v/>
      </c>
      <c r="E71" s="31" t="str">
        <f aca="false">IF($C71="","",IFERROR(INDEX(Employee_Master!$C$5:$C$104,MATCH($C71,Employee_Master!$A$5:$A$104,0)),"ID not found"))</f>
        <v/>
      </c>
      <c r="F71" s="37"/>
      <c r="G71" s="37"/>
      <c r="H71" s="37"/>
      <c r="I71" s="39"/>
      <c r="J71" s="38"/>
      <c r="K71" s="40" t="str">
        <f aca="false">IF(J71="","",EDATE(J71,Reference_Data!$AL$5))</f>
        <v/>
      </c>
      <c r="L71" s="37"/>
      <c r="M71" s="12"/>
      <c r="N71" s="41"/>
      <c r="O71" s="37"/>
      <c r="P71" s="31" t="str">
        <f aca="false">IF(O71="","",IFERROR(INDEX(Reference_Data!$J$5:$J$14,MATCH(O71,Reference_Data!$H$5:$H$14,0)),""))</f>
        <v/>
      </c>
      <c r="Q71" s="37"/>
      <c r="R71" s="38"/>
      <c r="S71" s="12"/>
      <c r="T71" s="40" t="str">
        <f aca="false">IF(R71="","",R71+Reference_Data!$AL$6)</f>
        <v/>
      </c>
      <c r="U71" s="31" t="str">
        <f aca="true">IF(C71="","",IF(Q71="Yes","Decertification Record",IF(J71="","—",IF(COUNTIFS($C$5:$C$304,C71,$F$5:$F$304,F71,$J$5:$J$304,"&gt;"&amp;J71)&gt;0,"Superseded",IF(COUNTIFS($C$5:$C$304,C71,$F$5:$F$304,F71,$R$5:$R$304,"&gt;="&amp;J71)&gt;0,"Decertified",IF(K71&lt;TODAY(),"Expired","Active"))))))</f>
        <v/>
      </c>
      <c r="V71" s="37"/>
      <c r="W71" s="12"/>
    </row>
    <row r="72" customFormat="false" ht="15" hidden="false" customHeight="false" outlineLevel="0" collapsed="false">
      <c r="A72" s="37"/>
      <c r="B72" s="38"/>
      <c r="C72" s="37"/>
      <c r="D72" s="31" t="str">
        <f aca="false">IF($C72="","",IFERROR(INDEX(Employee_Master!$B$5:$B$104,MATCH($C72,Employee_Master!$A$5:$A$104,0)),"ID not found"))</f>
        <v/>
      </c>
      <c r="E72" s="31" t="str">
        <f aca="false">IF($C72="","",IFERROR(INDEX(Employee_Master!$C$5:$C$104,MATCH($C72,Employee_Master!$A$5:$A$104,0)),"ID not found"))</f>
        <v/>
      </c>
      <c r="F72" s="37"/>
      <c r="G72" s="37"/>
      <c r="H72" s="37"/>
      <c r="I72" s="39"/>
      <c r="J72" s="38"/>
      <c r="K72" s="40" t="str">
        <f aca="false">IF(J72="","",EDATE(J72,Reference_Data!$AL$5))</f>
        <v/>
      </c>
      <c r="L72" s="37"/>
      <c r="M72" s="12"/>
      <c r="N72" s="41"/>
      <c r="O72" s="37"/>
      <c r="P72" s="31" t="str">
        <f aca="false">IF(O72="","",IFERROR(INDEX(Reference_Data!$J$5:$J$14,MATCH(O72,Reference_Data!$H$5:$H$14,0)),""))</f>
        <v/>
      </c>
      <c r="Q72" s="37"/>
      <c r="R72" s="38"/>
      <c r="S72" s="12"/>
      <c r="T72" s="40" t="str">
        <f aca="false">IF(R72="","",R72+Reference_Data!$AL$6)</f>
        <v/>
      </c>
      <c r="U72" s="31" t="str">
        <f aca="true">IF(C72="","",IF(Q72="Yes","Decertification Record",IF(J72="","—",IF(COUNTIFS($C$5:$C$304,C72,$F$5:$F$304,F72,$J$5:$J$304,"&gt;"&amp;J72)&gt;0,"Superseded",IF(COUNTIFS($C$5:$C$304,C72,$F$5:$F$304,F72,$R$5:$R$304,"&gt;="&amp;J72)&gt;0,"Decertified",IF(K72&lt;TODAY(),"Expired","Active"))))))</f>
        <v/>
      </c>
      <c r="V72" s="37"/>
      <c r="W72" s="12"/>
    </row>
    <row r="73" customFormat="false" ht="15" hidden="false" customHeight="false" outlineLevel="0" collapsed="false">
      <c r="A73" s="37"/>
      <c r="B73" s="38"/>
      <c r="C73" s="37"/>
      <c r="D73" s="31" t="str">
        <f aca="false">IF($C73="","",IFERROR(INDEX(Employee_Master!$B$5:$B$104,MATCH($C73,Employee_Master!$A$5:$A$104,0)),"ID not found"))</f>
        <v/>
      </c>
      <c r="E73" s="31" t="str">
        <f aca="false">IF($C73="","",IFERROR(INDEX(Employee_Master!$C$5:$C$104,MATCH($C73,Employee_Master!$A$5:$A$104,0)),"ID not found"))</f>
        <v/>
      </c>
      <c r="F73" s="37"/>
      <c r="G73" s="37"/>
      <c r="H73" s="37"/>
      <c r="I73" s="39"/>
      <c r="J73" s="38"/>
      <c r="K73" s="40" t="str">
        <f aca="false">IF(J73="","",EDATE(J73,Reference_Data!$AL$5))</f>
        <v/>
      </c>
      <c r="L73" s="37"/>
      <c r="M73" s="12"/>
      <c r="N73" s="41"/>
      <c r="O73" s="37"/>
      <c r="P73" s="31" t="str">
        <f aca="false">IF(O73="","",IFERROR(INDEX(Reference_Data!$J$5:$J$14,MATCH(O73,Reference_Data!$H$5:$H$14,0)),""))</f>
        <v/>
      </c>
      <c r="Q73" s="37"/>
      <c r="R73" s="38"/>
      <c r="S73" s="12"/>
      <c r="T73" s="40" t="str">
        <f aca="false">IF(R73="","",R73+Reference_Data!$AL$6)</f>
        <v/>
      </c>
      <c r="U73" s="31" t="str">
        <f aca="true">IF(C73="","",IF(Q73="Yes","Decertification Record",IF(J73="","—",IF(COUNTIFS($C$5:$C$304,C73,$F$5:$F$304,F73,$J$5:$J$304,"&gt;"&amp;J73)&gt;0,"Superseded",IF(COUNTIFS($C$5:$C$304,C73,$F$5:$F$304,F73,$R$5:$R$304,"&gt;="&amp;J73)&gt;0,"Decertified",IF(K73&lt;TODAY(),"Expired","Active"))))))</f>
        <v/>
      </c>
      <c r="V73" s="37"/>
      <c r="W73" s="12"/>
    </row>
    <row r="74" customFormat="false" ht="15" hidden="false" customHeight="false" outlineLevel="0" collapsed="false">
      <c r="A74" s="37"/>
      <c r="B74" s="38"/>
      <c r="C74" s="37"/>
      <c r="D74" s="31" t="str">
        <f aca="false">IF($C74="","",IFERROR(INDEX(Employee_Master!$B$5:$B$104,MATCH($C74,Employee_Master!$A$5:$A$104,0)),"ID not found"))</f>
        <v/>
      </c>
      <c r="E74" s="31" t="str">
        <f aca="false">IF($C74="","",IFERROR(INDEX(Employee_Master!$C$5:$C$104,MATCH($C74,Employee_Master!$A$5:$A$104,0)),"ID not found"))</f>
        <v/>
      </c>
      <c r="F74" s="37"/>
      <c r="G74" s="37"/>
      <c r="H74" s="37"/>
      <c r="I74" s="39"/>
      <c r="J74" s="38"/>
      <c r="K74" s="40" t="str">
        <f aca="false">IF(J74="","",EDATE(J74,Reference_Data!$AL$5))</f>
        <v/>
      </c>
      <c r="L74" s="37"/>
      <c r="M74" s="12"/>
      <c r="N74" s="41"/>
      <c r="O74" s="37"/>
      <c r="P74" s="31" t="str">
        <f aca="false">IF(O74="","",IFERROR(INDEX(Reference_Data!$J$5:$J$14,MATCH(O74,Reference_Data!$H$5:$H$14,0)),""))</f>
        <v/>
      </c>
      <c r="Q74" s="37"/>
      <c r="R74" s="38"/>
      <c r="S74" s="12"/>
      <c r="T74" s="40" t="str">
        <f aca="false">IF(R74="","",R74+Reference_Data!$AL$6)</f>
        <v/>
      </c>
      <c r="U74" s="31" t="str">
        <f aca="true">IF(C74="","",IF(Q74="Yes","Decertification Record",IF(J74="","—",IF(COUNTIFS($C$5:$C$304,C74,$F$5:$F$304,F74,$J$5:$J$304,"&gt;"&amp;J74)&gt;0,"Superseded",IF(COUNTIFS($C$5:$C$304,C74,$F$5:$F$304,F74,$R$5:$R$304,"&gt;="&amp;J74)&gt;0,"Decertified",IF(K74&lt;TODAY(),"Expired","Active"))))))</f>
        <v/>
      </c>
      <c r="V74" s="37"/>
      <c r="W74" s="12"/>
    </row>
    <row r="75" customFormat="false" ht="15" hidden="false" customHeight="false" outlineLevel="0" collapsed="false">
      <c r="A75" s="37"/>
      <c r="B75" s="38"/>
      <c r="C75" s="37"/>
      <c r="D75" s="31" t="str">
        <f aca="false">IF($C75="","",IFERROR(INDEX(Employee_Master!$B$5:$B$104,MATCH($C75,Employee_Master!$A$5:$A$104,0)),"ID not found"))</f>
        <v/>
      </c>
      <c r="E75" s="31" t="str">
        <f aca="false">IF($C75="","",IFERROR(INDEX(Employee_Master!$C$5:$C$104,MATCH($C75,Employee_Master!$A$5:$A$104,0)),"ID not found"))</f>
        <v/>
      </c>
      <c r="F75" s="37"/>
      <c r="G75" s="37"/>
      <c r="H75" s="37"/>
      <c r="I75" s="39"/>
      <c r="J75" s="38"/>
      <c r="K75" s="40" t="str">
        <f aca="false">IF(J75="","",EDATE(J75,Reference_Data!$AL$5))</f>
        <v/>
      </c>
      <c r="L75" s="37"/>
      <c r="M75" s="12"/>
      <c r="N75" s="41"/>
      <c r="O75" s="37"/>
      <c r="P75" s="31" t="str">
        <f aca="false">IF(O75="","",IFERROR(INDEX(Reference_Data!$J$5:$J$14,MATCH(O75,Reference_Data!$H$5:$H$14,0)),""))</f>
        <v/>
      </c>
      <c r="Q75" s="37"/>
      <c r="R75" s="38"/>
      <c r="S75" s="12"/>
      <c r="T75" s="40" t="str">
        <f aca="false">IF(R75="","",R75+Reference_Data!$AL$6)</f>
        <v/>
      </c>
      <c r="U75" s="31" t="str">
        <f aca="true">IF(C75="","",IF(Q75="Yes","Decertification Record",IF(J75="","—",IF(COUNTIFS($C$5:$C$304,C75,$F$5:$F$304,F75,$J$5:$J$304,"&gt;"&amp;J75)&gt;0,"Superseded",IF(COUNTIFS($C$5:$C$304,C75,$F$5:$F$304,F75,$R$5:$R$304,"&gt;="&amp;J75)&gt;0,"Decertified",IF(K75&lt;TODAY(),"Expired","Active"))))))</f>
        <v/>
      </c>
      <c r="V75" s="37"/>
      <c r="W75" s="12"/>
    </row>
    <row r="76" customFormat="false" ht="15" hidden="false" customHeight="false" outlineLevel="0" collapsed="false">
      <c r="A76" s="37"/>
      <c r="B76" s="38"/>
      <c r="C76" s="37"/>
      <c r="D76" s="31" t="str">
        <f aca="false">IF($C76="","",IFERROR(INDEX(Employee_Master!$B$5:$B$104,MATCH($C76,Employee_Master!$A$5:$A$104,0)),"ID not found"))</f>
        <v/>
      </c>
      <c r="E76" s="31" t="str">
        <f aca="false">IF($C76="","",IFERROR(INDEX(Employee_Master!$C$5:$C$104,MATCH($C76,Employee_Master!$A$5:$A$104,0)),"ID not found"))</f>
        <v/>
      </c>
      <c r="F76" s="37"/>
      <c r="G76" s="37"/>
      <c r="H76" s="37"/>
      <c r="I76" s="39"/>
      <c r="J76" s="38"/>
      <c r="K76" s="40" t="str">
        <f aca="false">IF(J76="","",EDATE(J76,Reference_Data!$AL$5))</f>
        <v/>
      </c>
      <c r="L76" s="37"/>
      <c r="M76" s="12"/>
      <c r="N76" s="41"/>
      <c r="O76" s="37"/>
      <c r="P76" s="31" t="str">
        <f aca="false">IF(O76="","",IFERROR(INDEX(Reference_Data!$J$5:$J$14,MATCH(O76,Reference_Data!$H$5:$H$14,0)),""))</f>
        <v/>
      </c>
      <c r="Q76" s="37"/>
      <c r="R76" s="38"/>
      <c r="S76" s="12"/>
      <c r="T76" s="40" t="str">
        <f aca="false">IF(R76="","",R76+Reference_Data!$AL$6)</f>
        <v/>
      </c>
      <c r="U76" s="31" t="str">
        <f aca="true">IF(C76="","",IF(Q76="Yes","Decertification Record",IF(J76="","—",IF(COUNTIFS($C$5:$C$304,C76,$F$5:$F$304,F76,$J$5:$J$304,"&gt;"&amp;J76)&gt;0,"Superseded",IF(COUNTIFS($C$5:$C$304,C76,$F$5:$F$304,F76,$R$5:$R$304,"&gt;="&amp;J76)&gt;0,"Decertified",IF(K76&lt;TODAY(),"Expired","Active"))))))</f>
        <v/>
      </c>
      <c r="V76" s="37"/>
      <c r="W76" s="12"/>
    </row>
    <row r="77" customFormat="false" ht="15" hidden="false" customHeight="false" outlineLevel="0" collapsed="false">
      <c r="A77" s="37"/>
      <c r="B77" s="38"/>
      <c r="C77" s="37"/>
      <c r="D77" s="31" t="str">
        <f aca="false">IF($C77="","",IFERROR(INDEX(Employee_Master!$B$5:$B$104,MATCH($C77,Employee_Master!$A$5:$A$104,0)),"ID not found"))</f>
        <v/>
      </c>
      <c r="E77" s="31" t="str">
        <f aca="false">IF($C77="","",IFERROR(INDEX(Employee_Master!$C$5:$C$104,MATCH($C77,Employee_Master!$A$5:$A$104,0)),"ID not found"))</f>
        <v/>
      </c>
      <c r="F77" s="37"/>
      <c r="G77" s="37"/>
      <c r="H77" s="37"/>
      <c r="I77" s="39"/>
      <c r="J77" s="38"/>
      <c r="K77" s="40" t="str">
        <f aca="false">IF(J77="","",EDATE(J77,Reference_Data!$AL$5))</f>
        <v/>
      </c>
      <c r="L77" s="37"/>
      <c r="M77" s="12"/>
      <c r="N77" s="41"/>
      <c r="O77" s="37"/>
      <c r="P77" s="31" t="str">
        <f aca="false">IF(O77="","",IFERROR(INDEX(Reference_Data!$J$5:$J$14,MATCH(O77,Reference_Data!$H$5:$H$14,0)),""))</f>
        <v/>
      </c>
      <c r="Q77" s="37"/>
      <c r="R77" s="38"/>
      <c r="S77" s="12"/>
      <c r="T77" s="40" t="str">
        <f aca="false">IF(R77="","",R77+Reference_Data!$AL$6)</f>
        <v/>
      </c>
      <c r="U77" s="31" t="str">
        <f aca="true">IF(C77="","",IF(Q77="Yes","Decertification Record",IF(J77="","—",IF(COUNTIFS($C$5:$C$304,C77,$F$5:$F$304,F77,$J$5:$J$304,"&gt;"&amp;J77)&gt;0,"Superseded",IF(COUNTIFS($C$5:$C$304,C77,$F$5:$F$304,F77,$R$5:$R$304,"&gt;="&amp;J77)&gt;0,"Decertified",IF(K77&lt;TODAY(),"Expired","Active"))))))</f>
        <v/>
      </c>
      <c r="V77" s="37"/>
      <c r="W77" s="12"/>
    </row>
    <row r="78" customFormat="false" ht="15" hidden="false" customHeight="false" outlineLevel="0" collapsed="false">
      <c r="A78" s="37"/>
      <c r="B78" s="38"/>
      <c r="C78" s="37"/>
      <c r="D78" s="31" t="str">
        <f aca="false">IF($C78="","",IFERROR(INDEX(Employee_Master!$B$5:$B$104,MATCH($C78,Employee_Master!$A$5:$A$104,0)),"ID not found"))</f>
        <v/>
      </c>
      <c r="E78" s="31" t="str">
        <f aca="false">IF($C78="","",IFERROR(INDEX(Employee_Master!$C$5:$C$104,MATCH($C78,Employee_Master!$A$5:$A$104,0)),"ID not found"))</f>
        <v/>
      </c>
      <c r="F78" s="37"/>
      <c r="G78" s="37"/>
      <c r="H78" s="37"/>
      <c r="I78" s="39"/>
      <c r="J78" s="38"/>
      <c r="K78" s="40" t="str">
        <f aca="false">IF(J78="","",EDATE(J78,Reference_Data!$AL$5))</f>
        <v/>
      </c>
      <c r="L78" s="37"/>
      <c r="M78" s="12"/>
      <c r="N78" s="41"/>
      <c r="O78" s="37"/>
      <c r="P78" s="31" t="str">
        <f aca="false">IF(O78="","",IFERROR(INDEX(Reference_Data!$J$5:$J$14,MATCH(O78,Reference_Data!$H$5:$H$14,0)),""))</f>
        <v/>
      </c>
      <c r="Q78" s="37"/>
      <c r="R78" s="38"/>
      <c r="S78" s="12"/>
      <c r="T78" s="40" t="str">
        <f aca="false">IF(R78="","",R78+Reference_Data!$AL$6)</f>
        <v/>
      </c>
      <c r="U78" s="31" t="str">
        <f aca="true">IF(C78="","",IF(Q78="Yes","Decertification Record",IF(J78="","—",IF(COUNTIFS($C$5:$C$304,C78,$F$5:$F$304,F78,$J$5:$J$304,"&gt;"&amp;J78)&gt;0,"Superseded",IF(COUNTIFS($C$5:$C$304,C78,$F$5:$F$304,F78,$R$5:$R$304,"&gt;="&amp;J78)&gt;0,"Decertified",IF(K78&lt;TODAY(),"Expired","Active"))))))</f>
        <v/>
      </c>
      <c r="V78" s="37"/>
      <c r="W78" s="12"/>
    </row>
    <row r="79" customFormat="false" ht="15" hidden="false" customHeight="false" outlineLevel="0" collapsed="false">
      <c r="A79" s="37"/>
      <c r="B79" s="38"/>
      <c r="C79" s="37"/>
      <c r="D79" s="31" t="str">
        <f aca="false">IF($C79="","",IFERROR(INDEX(Employee_Master!$B$5:$B$104,MATCH($C79,Employee_Master!$A$5:$A$104,0)),"ID not found"))</f>
        <v/>
      </c>
      <c r="E79" s="31" t="str">
        <f aca="false">IF($C79="","",IFERROR(INDEX(Employee_Master!$C$5:$C$104,MATCH($C79,Employee_Master!$A$5:$A$104,0)),"ID not found"))</f>
        <v/>
      </c>
      <c r="F79" s="37"/>
      <c r="G79" s="37"/>
      <c r="H79" s="37"/>
      <c r="I79" s="39"/>
      <c r="J79" s="38"/>
      <c r="K79" s="40" t="str">
        <f aca="false">IF(J79="","",EDATE(J79,Reference_Data!$AL$5))</f>
        <v/>
      </c>
      <c r="L79" s="37"/>
      <c r="M79" s="12"/>
      <c r="N79" s="41"/>
      <c r="O79" s="37"/>
      <c r="P79" s="31" t="str">
        <f aca="false">IF(O79="","",IFERROR(INDEX(Reference_Data!$J$5:$J$14,MATCH(O79,Reference_Data!$H$5:$H$14,0)),""))</f>
        <v/>
      </c>
      <c r="Q79" s="37"/>
      <c r="R79" s="38"/>
      <c r="S79" s="12"/>
      <c r="T79" s="40" t="str">
        <f aca="false">IF(R79="","",R79+Reference_Data!$AL$6)</f>
        <v/>
      </c>
      <c r="U79" s="31" t="str">
        <f aca="true">IF(C79="","",IF(Q79="Yes","Decertification Record",IF(J79="","—",IF(COUNTIFS($C$5:$C$304,C79,$F$5:$F$304,F79,$J$5:$J$304,"&gt;"&amp;J79)&gt;0,"Superseded",IF(COUNTIFS($C$5:$C$304,C79,$F$5:$F$304,F79,$R$5:$R$304,"&gt;="&amp;J79)&gt;0,"Decertified",IF(K79&lt;TODAY(),"Expired","Active"))))))</f>
        <v/>
      </c>
      <c r="V79" s="37"/>
      <c r="W79" s="12"/>
    </row>
    <row r="80" customFormat="false" ht="15" hidden="false" customHeight="false" outlineLevel="0" collapsed="false">
      <c r="A80" s="37"/>
      <c r="B80" s="38"/>
      <c r="C80" s="37"/>
      <c r="D80" s="31" t="str">
        <f aca="false">IF($C80="","",IFERROR(INDEX(Employee_Master!$B$5:$B$104,MATCH($C80,Employee_Master!$A$5:$A$104,0)),"ID not found"))</f>
        <v/>
      </c>
      <c r="E80" s="31" t="str">
        <f aca="false">IF($C80="","",IFERROR(INDEX(Employee_Master!$C$5:$C$104,MATCH($C80,Employee_Master!$A$5:$A$104,0)),"ID not found"))</f>
        <v/>
      </c>
      <c r="F80" s="37"/>
      <c r="G80" s="37"/>
      <c r="H80" s="37"/>
      <c r="I80" s="39"/>
      <c r="J80" s="38"/>
      <c r="K80" s="40" t="str">
        <f aca="false">IF(J80="","",EDATE(J80,Reference_Data!$AL$5))</f>
        <v/>
      </c>
      <c r="L80" s="37"/>
      <c r="M80" s="12"/>
      <c r="N80" s="41"/>
      <c r="O80" s="37"/>
      <c r="P80" s="31" t="str">
        <f aca="false">IF(O80="","",IFERROR(INDEX(Reference_Data!$J$5:$J$14,MATCH(O80,Reference_Data!$H$5:$H$14,0)),""))</f>
        <v/>
      </c>
      <c r="Q80" s="37"/>
      <c r="R80" s="38"/>
      <c r="S80" s="12"/>
      <c r="T80" s="40" t="str">
        <f aca="false">IF(R80="","",R80+Reference_Data!$AL$6)</f>
        <v/>
      </c>
      <c r="U80" s="31" t="str">
        <f aca="true">IF(C80="","",IF(Q80="Yes","Decertification Record",IF(J80="","—",IF(COUNTIFS($C$5:$C$304,C80,$F$5:$F$304,F80,$J$5:$J$304,"&gt;"&amp;J80)&gt;0,"Superseded",IF(COUNTIFS($C$5:$C$304,C80,$F$5:$F$304,F80,$R$5:$R$304,"&gt;="&amp;J80)&gt;0,"Decertified",IF(K80&lt;TODAY(),"Expired","Active"))))))</f>
        <v/>
      </c>
      <c r="V80" s="37"/>
      <c r="W80" s="12"/>
    </row>
    <row r="81" customFormat="false" ht="15" hidden="false" customHeight="false" outlineLevel="0" collapsed="false">
      <c r="A81" s="37"/>
      <c r="B81" s="38"/>
      <c r="C81" s="37"/>
      <c r="D81" s="31" t="str">
        <f aca="false">IF($C81="","",IFERROR(INDEX(Employee_Master!$B$5:$B$104,MATCH($C81,Employee_Master!$A$5:$A$104,0)),"ID not found"))</f>
        <v/>
      </c>
      <c r="E81" s="31" t="str">
        <f aca="false">IF($C81="","",IFERROR(INDEX(Employee_Master!$C$5:$C$104,MATCH($C81,Employee_Master!$A$5:$A$104,0)),"ID not found"))</f>
        <v/>
      </c>
      <c r="F81" s="37"/>
      <c r="G81" s="37"/>
      <c r="H81" s="37"/>
      <c r="I81" s="39"/>
      <c r="J81" s="38"/>
      <c r="K81" s="40" t="str">
        <f aca="false">IF(J81="","",EDATE(J81,Reference_Data!$AL$5))</f>
        <v/>
      </c>
      <c r="L81" s="37"/>
      <c r="M81" s="12"/>
      <c r="N81" s="41"/>
      <c r="O81" s="37"/>
      <c r="P81" s="31" t="str">
        <f aca="false">IF(O81="","",IFERROR(INDEX(Reference_Data!$J$5:$J$14,MATCH(O81,Reference_Data!$H$5:$H$14,0)),""))</f>
        <v/>
      </c>
      <c r="Q81" s="37"/>
      <c r="R81" s="38"/>
      <c r="S81" s="12"/>
      <c r="T81" s="40" t="str">
        <f aca="false">IF(R81="","",R81+Reference_Data!$AL$6)</f>
        <v/>
      </c>
      <c r="U81" s="31" t="str">
        <f aca="true">IF(C81="","",IF(Q81="Yes","Decertification Record",IF(J81="","—",IF(COUNTIFS($C$5:$C$304,C81,$F$5:$F$304,F81,$J$5:$J$304,"&gt;"&amp;J81)&gt;0,"Superseded",IF(COUNTIFS($C$5:$C$304,C81,$F$5:$F$304,F81,$R$5:$R$304,"&gt;="&amp;J81)&gt;0,"Decertified",IF(K81&lt;TODAY(),"Expired","Active"))))))</f>
        <v/>
      </c>
      <c r="V81" s="37"/>
      <c r="W81" s="12"/>
    </row>
    <row r="82" customFormat="false" ht="15" hidden="false" customHeight="false" outlineLevel="0" collapsed="false">
      <c r="A82" s="37"/>
      <c r="B82" s="38"/>
      <c r="C82" s="37"/>
      <c r="D82" s="31" t="str">
        <f aca="false">IF($C82="","",IFERROR(INDEX(Employee_Master!$B$5:$B$104,MATCH($C82,Employee_Master!$A$5:$A$104,0)),"ID not found"))</f>
        <v/>
      </c>
      <c r="E82" s="31" t="str">
        <f aca="false">IF($C82="","",IFERROR(INDEX(Employee_Master!$C$5:$C$104,MATCH($C82,Employee_Master!$A$5:$A$104,0)),"ID not found"))</f>
        <v/>
      </c>
      <c r="F82" s="37"/>
      <c r="G82" s="37"/>
      <c r="H82" s="37"/>
      <c r="I82" s="39"/>
      <c r="J82" s="38"/>
      <c r="K82" s="40" t="str">
        <f aca="false">IF(J82="","",EDATE(J82,Reference_Data!$AL$5))</f>
        <v/>
      </c>
      <c r="L82" s="37"/>
      <c r="M82" s="12"/>
      <c r="N82" s="41"/>
      <c r="O82" s="37"/>
      <c r="P82" s="31" t="str">
        <f aca="false">IF(O82="","",IFERROR(INDEX(Reference_Data!$J$5:$J$14,MATCH(O82,Reference_Data!$H$5:$H$14,0)),""))</f>
        <v/>
      </c>
      <c r="Q82" s="37"/>
      <c r="R82" s="38"/>
      <c r="S82" s="12"/>
      <c r="T82" s="40" t="str">
        <f aca="false">IF(R82="","",R82+Reference_Data!$AL$6)</f>
        <v/>
      </c>
      <c r="U82" s="31" t="str">
        <f aca="true">IF(C82="","",IF(Q82="Yes","Decertification Record",IF(J82="","—",IF(COUNTIFS($C$5:$C$304,C82,$F$5:$F$304,F82,$J$5:$J$304,"&gt;"&amp;J82)&gt;0,"Superseded",IF(COUNTIFS($C$5:$C$304,C82,$F$5:$F$304,F82,$R$5:$R$304,"&gt;="&amp;J82)&gt;0,"Decertified",IF(K82&lt;TODAY(),"Expired","Active"))))))</f>
        <v/>
      </c>
      <c r="V82" s="37"/>
      <c r="W82" s="12"/>
    </row>
    <row r="83" customFormat="false" ht="15" hidden="false" customHeight="false" outlineLevel="0" collapsed="false">
      <c r="A83" s="37"/>
      <c r="B83" s="38"/>
      <c r="C83" s="37"/>
      <c r="D83" s="31" t="str">
        <f aca="false">IF($C83="","",IFERROR(INDEX(Employee_Master!$B$5:$B$104,MATCH($C83,Employee_Master!$A$5:$A$104,0)),"ID not found"))</f>
        <v/>
      </c>
      <c r="E83" s="31" t="str">
        <f aca="false">IF($C83="","",IFERROR(INDEX(Employee_Master!$C$5:$C$104,MATCH($C83,Employee_Master!$A$5:$A$104,0)),"ID not found"))</f>
        <v/>
      </c>
      <c r="F83" s="37"/>
      <c r="G83" s="37"/>
      <c r="H83" s="37"/>
      <c r="I83" s="39"/>
      <c r="J83" s="38"/>
      <c r="K83" s="40" t="str">
        <f aca="false">IF(J83="","",EDATE(J83,Reference_Data!$AL$5))</f>
        <v/>
      </c>
      <c r="L83" s="37"/>
      <c r="M83" s="12"/>
      <c r="N83" s="41"/>
      <c r="O83" s="37"/>
      <c r="P83" s="31" t="str">
        <f aca="false">IF(O83="","",IFERROR(INDEX(Reference_Data!$J$5:$J$14,MATCH(O83,Reference_Data!$H$5:$H$14,0)),""))</f>
        <v/>
      </c>
      <c r="Q83" s="37"/>
      <c r="R83" s="38"/>
      <c r="S83" s="12"/>
      <c r="T83" s="40" t="str">
        <f aca="false">IF(R83="","",R83+Reference_Data!$AL$6)</f>
        <v/>
      </c>
      <c r="U83" s="31" t="str">
        <f aca="true">IF(C83="","",IF(Q83="Yes","Decertification Record",IF(J83="","—",IF(COUNTIFS($C$5:$C$304,C83,$F$5:$F$304,F83,$J$5:$J$304,"&gt;"&amp;J83)&gt;0,"Superseded",IF(COUNTIFS($C$5:$C$304,C83,$F$5:$F$304,F83,$R$5:$R$304,"&gt;="&amp;J83)&gt;0,"Decertified",IF(K83&lt;TODAY(),"Expired","Active"))))))</f>
        <v/>
      </c>
      <c r="V83" s="37"/>
      <c r="W83" s="12"/>
    </row>
    <row r="84" customFormat="false" ht="15" hidden="false" customHeight="false" outlineLevel="0" collapsed="false">
      <c r="A84" s="37"/>
      <c r="B84" s="38"/>
      <c r="C84" s="37"/>
      <c r="D84" s="31" t="str">
        <f aca="false">IF($C84="","",IFERROR(INDEX(Employee_Master!$B$5:$B$104,MATCH($C84,Employee_Master!$A$5:$A$104,0)),"ID not found"))</f>
        <v/>
      </c>
      <c r="E84" s="31" t="str">
        <f aca="false">IF($C84="","",IFERROR(INDEX(Employee_Master!$C$5:$C$104,MATCH($C84,Employee_Master!$A$5:$A$104,0)),"ID not found"))</f>
        <v/>
      </c>
      <c r="F84" s="37"/>
      <c r="G84" s="37"/>
      <c r="H84" s="37"/>
      <c r="I84" s="39"/>
      <c r="J84" s="38"/>
      <c r="K84" s="40" t="str">
        <f aca="false">IF(J84="","",EDATE(J84,Reference_Data!$AL$5))</f>
        <v/>
      </c>
      <c r="L84" s="37"/>
      <c r="M84" s="12"/>
      <c r="N84" s="41"/>
      <c r="O84" s="37"/>
      <c r="P84" s="31" t="str">
        <f aca="false">IF(O84="","",IFERROR(INDEX(Reference_Data!$J$5:$J$14,MATCH(O84,Reference_Data!$H$5:$H$14,0)),""))</f>
        <v/>
      </c>
      <c r="Q84" s="37"/>
      <c r="R84" s="38"/>
      <c r="S84" s="12"/>
      <c r="T84" s="40" t="str">
        <f aca="false">IF(R84="","",R84+Reference_Data!$AL$6)</f>
        <v/>
      </c>
      <c r="U84" s="31" t="str">
        <f aca="true">IF(C84="","",IF(Q84="Yes","Decertification Record",IF(J84="","—",IF(COUNTIFS($C$5:$C$304,C84,$F$5:$F$304,F84,$J$5:$J$304,"&gt;"&amp;J84)&gt;0,"Superseded",IF(COUNTIFS($C$5:$C$304,C84,$F$5:$F$304,F84,$R$5:$R$304,"&gt;="&amp;J84)&gt;0,"Decertified",IF(K84&lt;TODAY(),"Expired","Active"))))))</f>
        <v/>
      </c>
      <c r="V84" s="37"/>
      <c r="W84" s="12"/>
    </row>
    <row r="85" customFormat="false" ht="15" hidden="false" customHeight="false" outlineLevel="0" collapsed="false">
      <c r="A85" s="37"/>
      <c r="B85" s="38"/>
      <c r="C85" s="37"/>
      <c r="D85" s="31" t="str">
        <f aca="false">IF($C85="","",IFERROR(INDEX(Employee_Master!$B$5:$B$104,MATCH($C85,Employee_Master!$A$5:$A$104,0)),"ID not found"))</f>
        <v/>
      </c>
      <c r="E85" s="31" t="str">
        <f aca="false">IF($C85="","",IFERROR(INDEX(Employee_Master!$C$5:$C$104,MATCH($C85,Employee_Master!$A$5:$A$104,0)),"ID not found"))</f>
        <v/>
      </c>
      <c r="F85" s="37"/>
      <c r="G85" s="37"/>
      <c r="H85" s="37"/>
      <c r="I85" s="39"/>
      <c r="J85" s="38"/>
      <c r="K85" s="40" t="str">
        <f aca="false">IF(J85="","",EDATE(J85,Reference_Data!$AL$5))</f>
        <v/>
      </c>
      <c r="L85" s="37"/>
      <c r="M85" s="12"/>
      <c r="N85" s="41"/>
      <c r="O85" s="37"/>
      <c r="P85" s="31" t="str">
        <f aca="false">IF(O85="","",IFERROR(INDEX(Reference_Data!$J$5:$J$14,MATCH(O85,Reference_Data!$H$5:$H$14,0)),""))</f>
        <v/>
      </c>
      <c r="Q85" s="37"/>
      <c r="R85" s="38"/>
      <c r="S85" s="12"/>
      <c r="T85" s="40" t="str">
        <f aca="false">IF(R85="","",R85+Reference_Data!$AL$6)</f>
        <v/>
      </c>
      <c r="U85" s="31" t="str">
        <f aca="true">IF(C85="","",IF(Q85="Yes","Decertification Record",IF(J85="","—",IF(COUNTIFS($C$5:$C$304,C85,$F$5:$F$304,F85,$J$5:$J$304,"&gt;"&amp;J85)&gt;0,"Superseded",IF(COUNTIFS($C$5:$C$304,C85,$F$5:$F$304,F85,$R$5:$R$304,"&gt;="&amp;J85)&gt;0,"Decertified",IF(K85&lt;TODAY(),"Expired","Active"))))))</f>
        <v/>
      </c>
      <c r="V85" s="37"/>
      <c r="W85" s="12"/>
    </row>
    <row r="86" customFormat="false" ht="15" hidden="false" customHeight="false" outlineLevel="0" collapsed="false">
      <c r="A86" s="37"/>
      <c r="B86" s="38"/>
      <c r="C86" s="37"/>
      <c r="D86" s="31" t="str">
        <f aca="false">IF($C86="","",IFERROR(INDEX(Employee_Master!$B$5:$B$104,MATCH($C86,Employee_Master!$A$5:$A$104,0)),"ID not found"))</f>
        <v/>
      </c>
      <c r="E86" s="31" t="str">
        <f aca="false">IF($C86="","",IFERROR(INDEX(Employee_Master!$C$5:$C$104,MATCH($C86,Employee_Master!$A$5:$A$104,0)),"ID not found"))</f>
        <v/>
      </c>
      <c r="F86" s="37"/>
      <c r="G86" s="37"/>
      <c r="H86" s="37"/>
      <c r="I86" s="39"/>
      <c r="J86" s="38"/>
      <c r="K86" s="40" t="str">
        <f aca="false">IF(J86="","",EDATE(J86,Reference_Data!$AL$5))</f>
        <v/>
      </c>
      <c r="L86" s="37"/>
      <c r="M86" s="12"/>
      <c r="N86" s="41"/>
      <c r="O86" s="37"/>
      <c r="P86" s="31" t="str">
        <f aca="false">IF(O86="","",IFERROR(INDEX(Reference_Data!$J$5:$J$14,MATCH(O86,Reference_Data!$H$5:$H$14,0)),""))</f>
        <v/>
      </c>
      <c r="Q86" s="37"/>
      <c r="R86" s="38"/>
      <c r="S86" s="12"/>
      <c r="T86" s="40" t="str">
        <f aca="false">IF(R86="","",R86+Reference_Data!$AL$6)</f>
        <v/>
      </c>
      <c r="U86" s="31" t="str">
        <f aca="true">IF(C86="","",IF(Q86="Yes","Decertification Record",IF(J86="","—",IF(COUNTIFS($C$5:$C$304,C86,$F$5:$F$304,F86,$J$5:$J$304,"&gt;"&amp;J86)&gt;0,"Superseded",IF(COUNTIFS($C$5:$C$304,C86,$F$5:$F$304,F86,$R$5:$R$304,"&gt;="&amp;J86)&gt;0,"Decertified",IF(K86&lt;TODAY(),"Expired","Active"))))))</f>
        <v/>
      </c>
      <c r="V86" s="37"/>
      <c r="W86" s="12"/>
    </row>
    <row r="87" customFormat="false" ht="15" hidden="false" customHeight="false" outlineLevel="0" collapsed="false">
      <c r="A87" s="37"/>
      <c r="B87" s="38"/>
      <c r="C87" s="37"/>
      <c r="D87" s="31" t="str">
        <f aca="false">IF($C87="","",IFERROR(INDEX(Employee_Master!$B$5:$B$104,MATCH($C87,Employee_Master!$A$5:$A$104,0)),"ID not found"))</f>
        <v/>
      </c>
      <c r="E87" s="31" t="str">
        <f aca="false">IF($C87="","",IFERROR(INDEX(Employee_Master!$C$5:$C$104,MATCH($C87,Employee_Master!$A$5:$A$104,0)),"ID not found"))</f>
        <v/>
      </c>
      <c r="F87" s="37"/>
      <c r="G87" s="37"/>
      <c r="H87" s="37"/>
      <c r="I87" s="39"/>
      <c r="J87" s="38"/>
      <c r="K87" s="40" t="str">
        <f aca="false">IF(J87="","",EDATE(J87,Reference_Data!$AL$5))</f>
        <v/>
      </c>
      <c r="L87" s="37"/>
      <c r="M87" s="12"/>
      <c r="N87" s="41"/>
      <c r="O87" s="37"/>
      <c r="P87" s="31" t="str">
        <f aca="false">IF(O87="","",IFERROR(INDEX(Reference_Data!$J$5:$J$14,MATCH(O87,Reference_Data!$H$5:$H$14,0)),""))</f>
        <v/>
      </c>
      <c r="Q87" s="37"/>
      <c r="R87" s="38"/>
      <c r="S87" s="12"/>
      <c r="T87" s="40" t="str">
        <f aca="false">IF(R87="","",R87+Reference_Data!$AL$6)</f>
        <v/>
      </c>
      <c r="U87" s="31" t="str">
        <f aca="true">IF(C87="","",IF(Q87="Yes","Decertification Record",IF(J87="","—",IF(COUNTIFS($C$5:$C$304,C87,$F$5:$F$304,F87,$J$5:$J$304,"&gt;"&amp;J87)&gt;0,"Superseded",IF(COUNTIFS($C$5:$C$304,C87,$F$5:$F$304,F87,$R$5:$R$304,"&gt;="&amp;J87)&gt;0,"Decertified",IF(K87&lt;TODAY(),"Expired","Active"))))))</f>
        <v/>
      </c>
      <c r="V87" s="37"/>
      <c r="W87" s="12"/>
    </row>
    <row r="88" customFormat="false" ht="15" hidden="false" customHeight="false" outlineLevel="0" collapsed="false">
      <c r="A88" s="37"/>
      <c r="B88" s="38"/>
      <c r="C88" s="37"/>
      <c r="D88" s="31" t="str">
        <f aca="false">IF($C88="","",IFERROR(INDEX(Employee_Master!$B$5:$B$104,MATCH($C88,Employee_Master!$A$5:$A$104,0)),"ID not found"))</f>
        <v/>
      </c>
      <c r="E88" s="31" t="str">
        <f aca="false">IF($C88="","",IFERROR(INDEX(Employee_Master!$C$5:$C$104,MATCH($C88,Employee_Master!$A$5:$A$104,0)),"ID not found"))</f>
        <v/>
      </c>
      <c r="F88" s="37"/>
      <c r="G88" s="37"/>
      <c r="H88" s="37"/>
      <c r="I88" s="39"/>
      <c r="J88" s="38"/>
      <c r="K88" s="40" t="str">
        <f aca="false">IF(J88="","",EDATE(J88,Reference_Data!$AL$5))</f>
        <v/>
      </c>
      <c r="L88" s="37"/>
      <c r="M88" s="12"/>
      <c r="N88" s="41"/>
      <c r="O88" s="37"/>
      <c r="P88" s="31" t="str">
        <f aca="false">IF(O88="","",IFERROR(INDEX(Reference_Data!$J$5:$J$14,MATCH(O88,Reference_Data!$H$5:$H$14,0)),""))</f>
        <v/>
      </c>
      <c r="Q88" s="37"/>
      <c r="R88" s="38"/>
      <c r="S88" s="12"/>
      <c r="T88" s="40" t="str">
        <f aca="false">IF(R88="","",R88+Reference_Data!$AL$6)</f>
        <v/>
      </c>
      <c r="U88" s="31" t="str">
        <f aca="true">IF(C88="","",IF(Q88="Yes","Decertification Record",IF(J88="","—",IF(COUNTIFS($C$5:$C$304,C88,$F$5:$F$304,F88,$J$5:$J$304,"&gt;"&amp;J88)&gt;0,"Superseded",IF(COUNTIFS($C$5:$C$304,C88,$F$5:$F$304,F88,$R$5:$R$304,"&gt;="&amp;J88)&gt;0,"Decertified",IF(K88&lt;TODAY(),"Expired","Active"))))))</f>
        <v/>
      </c>
      <c r="V88" s="37"/>
      <c r="W88" s="12"/>
    </row>
    <row r="89" customFormat="false" ht="15" hidden="false" customHeight="false" outlineLevel="0" collapsed="false">
      <c r="A89" s="37"/>
      <c r="B89" s="38"/>
      <c r="C89" s="37"/>
      <c r="D89" s="31" t="str">
        <f aca="false">IF($C89="","",IFERROR(INDEX(Employee_Master!$B$5:$B$104,MATCH($C89,Employee_Master!$A$5:$A$104,0)),"ID not found"))</f>
        <v/>
      </c>
      <c r="E89" s="31" t="str">
        <f aca="false">IF($C89="","",IFERROR(INDEX(Employee_Master!$C$5:$C$104,MATCH($C89,Employee_Master!$A$5:$A$104,0)),"ID not found"))</f>
        <v/>
      </c>
      <c r="F89" s="37"/>
      <c r="G89" s="37"/>
      <c r="H89" s="37"/>
      <c r="I89" s="39"/>
      <c r="J89" s="38"/>
      <c r="K89" s="40" t="str">
        <f aca="false">IF(J89="","",EDATE(J89,Reference_Data!$AL$5))</f>
        <v/>
      </c>
      <c r="L89" s="37"/>
      <c r="M89" s="12"/>
      <c r="N89" s="41"/>
      <c r="O89" s="37"/>
      <c r="P89" s="31" t="str">
        <f aca="false">IF(O89="","",IFERROR(INDEX(Reference_Data!$J$5:$J$14,MATCH(O89,Reference_Data!$H$5:$H$14,0)),""))</f>
        <v/>
      </c>
      <c r="Q89" s="37"/>
      <c r="R89" s="38"/>
      <c r="S89" s="12"/>
      <c r="T89" s="40" t="str">
        <f aca="false">IF(R89="","",R89+Reference_Data!$AL$6)</f>
        <v/>
      </c>
      <c r="U89" s="31" t="str">
        <f aca="true">IF(C89="","",IF(Q89="Yes","Decertification Record",IF(J89="","—",IF(COUNTIFS($C$5:$C$304,C89,$F$5:$F$304,F89,$J$5:$J$304,"&gt;"&amp;J89)&gt;0,"Superseded",IF(COUNTIFS($C$5:$C$304,C89,$F$5:$F$304,F89,$R$5:$R$304,"&gt;="&amp;J89)&gt;0,"Decertified",IF(K89&lt;TODAY(),"Expired","Active"))))))</f>
        <v/>
      </c>
      <c r="V89" s="37"/>
      <c r="W89" s="12"/>
    </row>
    <row r="90" customFormat="false" ht="15" hidden="false" customHeight="false" outlineLevel="0" collapsed="false">
      <c r="A90" s="37"/>
      <c r="B90" s="38"/>
      <c r="C90" s="37"/>
      <c r="D90" s="31" t="str">
        <f aca="false">IF($C90="","",IFERROR(INDEX(Employee_Master!$B$5:$B$104,MATCH($C90,Employee_Master!$A$5:$A$104,0)),"ID not found"))</f>
        <v/>
      </c>
      <c r="E90" s="31" t="str">
        <f aca="false">IF($C90="","",IFERROR(INDEX(Employee_Master!$C$5:$C$104,MATCH($C90,Employee_Master!$A$5:$A$104,0)),"ID not found"))</f>
        <v/>
      </c>
      <c r="F90" s="37"/>
      <c r="G90" s="37"/>
      <c r="H90" s="37"/>
      <c r="I90" s="39"/>
      <c r="J90" s="38"/>
      <c r="K90" s="40" t="str">
        <f aca="false">IF(J90="","",EDATE(J90,Reference_Data!$AL$5))</f>
        <v/>
      </c>
      <c r="L90" s="37"/>
      <c r="M90" s="12"/>
      <c r="N90" s="41"/>
      <c r="O90" s="37"/>
      <c r="P90" s="31" t="str">
        <f aca="false">IF(O90="","",IFERROR(INDEX(Reference_Data!$J$5:$J$14,MATCH(O90,Reference_Data!$H$5:$H$14,0)),""))</f>
        <v/>
      </c>
      <c r="Q90" s="37"/>
      <c r="R90" s="38"/>
      <c r="S90" s="12"/>
      <c r="T90" s="40" t="str">
        <f aca="false">IF(R90="","",R90+Reference_Data!$AL$6)</f>
        <v/>
      </c>
      <c r="U90" s="31" t="str">
        <f aca="true">IF(C90="","",IF(Q90="Yes","Decertification Record",IF(J90="","—",IF(COUNTIFS($C$5:$C$304,C90,$F$5:$F$304,F90,$J$5:$J$304,"&gt;"&amp;J90)&gt;0,"Superseded",IF(COUNTIFS($C$5:$C$304,C90,$F$5:$F$304,F90,$R$5:$R$304,"&gt;="&amp;J90)&gt;0,"Decertified",IF(K90&lt;TODAY(),"Expired","Active"))))))</f>
        <v/>
      </c>
      <c r="V90" s="37"/>
      <c r="W90" s="12"/>
    </row>
    <row r="91" customFormat="false" ht="15" hidden="false" customHeight="false" outlineLevel="0" collapsed="false">
      <c r="A91" s="37"/>
      <c r="B91" s="38"/>
      <c r="C91" s="37"/>
      <c r="D91" s="31" t="str">
        <f aca="false">IF($C91="","",IFERROR(INDEX(Employee_Master!$B$5:$B$104,MATCH($C91,Employee_Master!$A$5:$A$104,0)),"ID not found"))</f>
        <v/>
      </c>
      <c r="E91" s="31" t="str">
        <f aca="false">IF($C91="","",IFERROR(INDEX(Employee_Master!$C$5:$C$104,MATCH($C91,Employee_Master!$A$5:$A$104,0)),"ID not found"))</f>
        <v/>
      </c>
      <c r="F91" s="37"/>
      <c r="G91" s="37"/>
      <c r="H91" s="37"/>
      <c r="I91" s="39"/>
      <c r="J91" s="38"/>
      <c r="K91" s="40" t="str">
        <f aca="false">IF(J91="","",EDATE(J91,Reference_Data!$AL$5))</f>
        <v/>
      </c>
      <c r="L91" s="37"/>
      <c r="M91" s="12"/>
      <c r="N91" s="41"/>
      <c r="O91" s="37"/>
      <c r="P91" s="31" t="str">
        <f aca="false">IF(O91="","",IFERROR(INDEX(Reference_Data!$J$5:$J$14,MATCH(O91,Reference_Data!$H$5:$H$14,0)),""))</f>
        <v/>
      </c>
      <c r="Q91" s="37"/>
      <c r="R91" s="38"/>
      <c r="S91" s="12"/>
      <c r="T91" s="40" t="str">
        <f aca="false">IF(R91="","",R91+Reference_Data!$AL$6)</f>
        <v/>
      </c>
      <c r="U91" s="31" t="str">
        <f aca="true">IF(C91="","",IF(Q91="Yes","Decertification Record",IF(J91="","—",IF(COUNTIFS($C$5:$C$304,C91,$F$5:$F$304,F91,$J$5:$J$304,"&gt;"&amp;J91)&gt;0,"Superseded",IF(COUNTIFS($C$5:$C$304,C91,$F$5:$F$304,F91,$R$5:$R$304,"&gt;="&amp;J91)&gt;0,"Decertified",IF(K91&lt;TODAY(),"Expired","Active"))))))</f>
        <v/>
      </c>
      <c r="V91" s="37"/>
      <c r="W91" s="12"/>
    </row>
    <row r="92" customFormat="false" ht="15" hidden="false" customHeight="false" outlineLevel="0" collapsed="false">
      <c r="A92" s="37"/>
      <c r="B92" s="38"/>
      <c r="C92" s="37"/>
      <c r="D92" s="31" t="str">
        <f aca="false">IF($C92="","",IFERROR(INDEX(Employee_Master!$B$5:$B$104,MATCH($C92,Employee_Master!$A$5:$A$104,0)),"ID not found"))</f>
        <v/>
      </c>
      <c r="E92" s="31" t="str">
        <f aca="false">IF($C92="","",IFERROR(INDEX(Employee_Master!$C$5:$C$104,MATCH($C92,Employee_Master!$A$5:$A$104,0)),"ID not found"))</f>
        <v/>
      </c>
      <c r="F92" s="37"/>
      <c r="G92" s="37"/>
      <c r="H92" s="37"/>
      <c r="I92" s="39"/>
      <c r="J92" s="38"/>
      <c r="K92" s="40" t="str">
        <f aca="false">IF(J92="","",EDATE(J92,Reference_Data!$AL$5))</f>
        <v/>
      </c>
      <c r="L92" s="37"/>
      <c r="M92" s="12"/>
      <c r="N92" s="41"/>
      <c r="O92" s="37"/>
      <c r="P92" s="31" t="str">
        <f aca="false">IF(O92="","",IFERROR(INDEX(Reference_Data!$J$5:$J$14,MATCH(O92,Reference_Data!$H$5:$H$14,0)),""))</f>
        <v/>
      </c>
      <c r="Q92" s="37"/>
      <c r="R92" s="38"/>
      <c r="S92" s="12"/>
      <c r="T92" s="40" t="str">
        <f aca="false">IF(R92="","",R92+Reference_Data!$AL$6)</f>
        <v/>
      </c>
      <c r="U92" s="31" t="str">
        <f aca="true">IF(C92="","",IF(Q92="Yes","Decertification Record",IF(J92="","—",IF(COUNTIFS($C$5:$C$304,C92,$F$5:$F$304,F92,$J$5:$J$304,"&gt;"&amp;J92)&gt;0,"Superseded",IF(COUNTIFS($C$5:$C$304,C92,$F$5:$F$304,F92,$R$5:$R$304,"&gt;="&amp;J92)&gt;0,"Decertified",IF(K92&lt;TODAY(),"Expired","Active"))))))</f>
        <v/>
      </c>
      <c r="V92" s="37"/>
      <c r="W92" s="12"/>
    </row>
    <row r="93" customFormat="false" ht="15" hidden="false" customHeight="false" outlineLevel="0" collapsed="false">
      <c r="A93" s="37"/>
      <c r="B93" s="38"/>
      <c r="C93" s="37"/>
      <c r="D93" s="31" t="str">
        <f aca="false">IF($C93="","",IFERROR(INDEX(Employee_Master!$B$5:$B$104,MATCH($C93,Employee_Master!$A$5:$A$104,0)),"ID not found"))</f>
        <v/>
      </c>
      <c r="E93" s="31" t="str">
        <f aca="false">IF($C93="","",IFERROR(INDEX(Employee_Master!$C$5:$C$104,MATCH($C93,Employee_Master!$A$5:$A$104,0)),"ID not found"))</f>
        <v/>
      </c>
      <c r="F93" s="37"/>
      <c r="G93" s="37"/>
      <c r="H93" s="37"/>
      <c r="I93" s="39"/>
      <c r="J93" s="38"/>
      <c r="K93" s="40" t="str">
        <f aca="false">IF(J93="","",EDATE(J93,Reference_Data!$AL$5))</f>
        <v/>
      </c>
      <c r="L93" s="37"/>
      <c r="M93" s="12"/>
      <c r="N93" s="41"/>
      <c r="O93" s="37"/>
      <c r="P93" s="31" t="str">
        <f aca="false">IF(O93="","",IFERROR(INDEX(Reference_Data!$J$5:$J$14,MATCH(O93,Reference_Data!$H$5:$H$14,0)),""))</f>
        <v/>
      </c>
      <c r="Q93" s="37"/>
      <c r="R93" s="38"/>
      <c r="S93" s="12"/>
      <c r="T93" s="40" t="str">
        <f aca="false">IF(R93="","",R93+Reference_Data!$AL$6)</f>
        <v/>
      </c>
      <c r="U93" s="31" t="str">
        <f aca="true">IF(C93="","",IF(Q93="Yes","Decertification Record",IF(J93="","—",IF(COUNTIFS($C$5:$C$304,C93,$F$5:$F$304,F93,$J$5:$J$304,"&gt;"&amp;J93)&gt;0,"Superseded",IF(COUNTIFS($C$5:$C$304,C93,$F$5:$F$304,F93,$R$5:$R$304,"&gt;="&amp;J93)&gt;0,"Decertified",IF(K93&lt;TODAY(),"Expired","Active"))))))</f>
        <v/>
      </c>
      <c r="V93" s="37"/>
      <c r="W93" s="12"/>
    </row>
    <row r="94" customFormat="false" ht="15" hidden="false" customHeight="false" outlineLevel="0" collapsed="false">
      <c r="A94" s="37"/>
      <c r="B94" s="38"/>
      <c r="C94" s="37"/>
      <c r="D94" s="31" t="str">
        <f aca="false">IF($C94="","",IFERROR(INDEX(Employee_Master!$B$5:$B$104,MATCH($C94,Employee_Master!$A$5:$A$104,0)),"ID not found"))</f>
        <v/>
      </c>
      <c r="E94" s="31" t="str">
        <f aca="false">IF($C94="","",IFERROR(INDEX(Employee_Master!$C$5:$C$104,MATCH($C94,Employee_Master!$A$5:$A$104,0)),"ID not found"))</f>
        <v/>
      </c>
      <c r="F94" s="37"/>
      <c r="G94" s="37"/>
      <c r="H94" s="37"/>
      <c r="I94" s="39"/>
      <c r="J94" s="38"/>
      <c r="K94" s="40" t="str">
        <f aca="false">IF(J94="","",EDATE(J94,Reference_Data!$AL$5))</f>
        <v/>
      </c>
      <c r="L94" s="37"/>
      <c r="M94" s="12"/>
      <c r="N94" s="41"/>
      <c r="O94" s="37"/>
      <c r="P94" s="31" t="str">
        <f aca="false">IF(O94="","",IFERROR(INDEX(Reference_Data!$J$5:$J$14,MATCH(O94,Reference_Data!$H$5:$H$14,0)),""))</f>
        <v/>
      </c>
      <c r="Q94" s="37"/>
      <c r="R94" s="38"/>
      <c r="S94" s="12"/>
      <c r="T94" s="40" t="str">
        <f aca="false">IF(R94="","",R94+Reference_Data!$AL$6)</f>
        <v/>
      </c>
      <c r="U94" s="31" t="str">
        <f aca="true">IF(C94="","",IF(Q94="Yes","Decertification Record",IF(J94="","—",IF(COUNTIFS($C$5:$C$304,C94,$F$5:$F$304,F94,$J$5:$J$304,"&gt;"&amp;J94)&gt;0,"Superseded",IF(COUNTIFS($C$5:$C$304,C94,$F$5:$F$304,F94,$R$5:$R$304,"&gt;="&amp;J94)&gt;0,"Decertified",IF(K94&lt;TODAY(),"Expired","Active"))))))</f>
        <v/>
      </c>
      <c r="V94" s="37"/>
      <c r="W94" s="12"/>
    </row>
    <row r="95" customFormat="false" ht="15" hidden="false" customHeight="false" outlineLevel="0" collapsed="false">
      <c r="A95" s="37"/>
      <c r="B95" s="38"/>
      <c r="C95" s="37"/>
      <c r="D95" s="31" t="str">
        <f aca="false">IF($C95="","",IFERROR(INDEX(Employee_Master!$B$5:$B$104,MATCH($C95,Employee_Master!$A$5:$A$104,0)),"ID not found"))</f>
        <v/>
      </c>
      <c r="E95" s="31" t="str">
        <f aca="false">IF($C95="","",IFERROR(INDEX(Employee_Master!$C$5:$C$104,MATCH($C95,Employee_Master!$A$5:$A$104,0)),"ID not found"))</f>
        <v/>
      </c>
      <c r="F95" s="37"/>
      <c r="G95" s="37"/>
      <c r="H95" s="37"/>
      <c r="I95" s="39"/>
      <c r="J95" s="38"/>
      <c r="K95" s="40" t="str">
        <f aca="false">IF(J95="","",EDATE(J95,Reference_Data!$AL$5))</f>
        <v/>
      </c>
      <c r="L95" s="37"/>
      <c r="M95" s="12"/>
      <c r="N95" s="41"/>
      <c r="O95" s="37"/>
      <c r="P95" s="31" t="str">
        <f aca="false">IF(O95="","",IFERROR(INDEX(Reference_Data!$J$5:$J$14,MATCH(O95,Reference_Data!$H$5:$H$14,0)),""))</f>
        <v/>
      </c>
      <c r="Q95" s="37"/>
      <c r="R95" s="38"/>
      <c r="S95" s="12"/>
      <c r="T95" s="40" t="str">
        <f aca="false">IF(R95="","",R95+Reference_Data!$AL$6)</f>
        <v/>
      </c>
      <c r="U95" s="31" t="str">
        <f aca="true">IF(C95="","",IF(Q95="Yes","Decertification Record",IF(J95="","—",IF(COUNTIFS($C$5:$C$304,C95,$F$5:$F$304,F95,$J$5:$J$304,"&gt;"&amp;J95)&gt;0,"Superseded",IF(COUNTIFS($C$5:$C$304,C95,$F$5:$F$304,F95,$R$5:$R$304,"&gt;="&amp;J95)&gt;0,"Decertified",IF(K95&lt;TODAY(),"Expired","Active"))))))</f>
        <v/>
      </c>
      <c r="V95" s="37"/>
      <c r="W95" s="12"/>
    </row>
    <row r="96" customFormat="false" ht="15" hidden="false" customHeight="false" outlineLevel="0" collapsed="false">
      <c r="A96" s="37"/>
      <c r="B96" s="38"/>
      <c r="C96" s="37"/>
      <c r="D96" s="31" t="str">
        <f aca="false">IF($C96="","",IFERROR(INDEX(Employee_Master!$B$5:$B$104,MATCH($C96,Employee_Master!$A$5:$A$104,0)),"ID not found"))</f>
        <v/>
      </c>
      <c r="E96" s="31" t="str">
        <f aca="false">IF($C96="","",IFERROR(INDEX(Employee_Master!$C$5:$C$104,MATCH($C96,Employee_Master!$A$5:$A$104,0)),"ID not found"))</f>
        <v/>
      </c>
      <c r="F96" s="37"/>
      <c r="G96" s="37"/>
      <c r="H96" s="37"/>
      <c r="I96" s="39"/>
      <c r="J96" s="38"/>
      <c r="K96" s="40" t="str">
        <f aca="false">IF(J96="","",EDATE(J96,Reference_Data!$AL$5))</f>
        <v/>
      </c>
      <c r="L96" s="37"/>
      <c r="M96" s="12"/>
      <c r="N96" s="41"/>
      <c r="O96" s="37"/>
      <c r="P96" s="31" t="str">
        <f aca="false">IF(O96="","",IFERROR(INDEX(Reference_Data!$J$5:$J$14,MATCH(O96,Reference_Data!$H$5:$H$14,0)),""))</f>
        <v/>
      </c>
      <c r="Q96" s="37"/>
      <c r="R96" s="38"/>
      <c r="S96" s="12"/>
      <c r="T96" s="40" t="str">
        <f aca="false">IF(R96="","",R96+Reference_Data!$AL$6)</f>
        <v/>
      </c>
      <c r="U96" s="31" t="str">
        <f aca="true">IF(C96="","",IF(Q96="Yes","Decertification Record",IF(J96="","—",IF(COUNTIFS($C$5:$C$304,C96,$F$5:$F$304,F96,$J$5:$J$304,"&gt;"&amp;J96)&gt;0,"Superseded",IF(COUNTIFS($C$5:$C$304,C96,$F$5:$F$304,F96,$R$5:$R$304,"&gt;="&amp;J96)&gt;0,"Decertified",IF(K96&lt;TODAY(),"Expired","Active"))))))</f>
        <v/>
      </c>
      <c r="V96" s="37"/>
      <c r="W96" s="12"/>
    </row>
    <row r="97" customFormat="false" ht="15" hidden="false" customHeight="false" outlineLevel="0" collapsed="false">
      <c r="A97" s="37"/>
      <c r="B97" s="38"/>
      <c r="C97" s="37"/>
      <c r="D97" s="31" t="str">
        <f aca="false">IF($C97="","",IFERROR(INDEX(Employee_Master!$B$5:$B$104,MATCH($C97,Employee_Master!$A$5:$A$104,0)),"ID not found"))</f>
        <v/>
      </c>
      <c r="E97" s="31" t="str">
        <f aca="false">IF($C97="","",IFERROR(INDEX(Employee_Master!$C$5:$C$104,MATCH($C97,Employee_Master!$A$5:$A$104,0)),"ID not found"))</f>
        <v/>
      </c>
      <c r="F97" s="37"/>
      <c r="G97" s="37"/>
      <c r="H97" s="37"/>
      <c r="I97" s="39"/>
      <c r="J97" s="38"/>
      <c r="K97" s="40" t="str">
        <f aca="false">IF(J97="","",EDATE(J97,Reference_Data!$AL$5))</f>
        <v/>
      </c>
      <c r="L97" s="37"/>
      <c r="M97" s="12"/>
      <c r="N97" s="41"/>
      <c r="O97" s="37"/>
      <c r="P97" s="31" t="str">
        <f aca="false">IF(O97="","",IFERROR(INDEX(Reference_Data!$J$5:$J$14,MATCH(O97,Reference_Data!$H$5:$H$14,0)),""))</f>
        <v/>
      </c>
      <c r="Q97" s="37"/>
      <c r="R97" s="38"/>
      <c r="S97" s="12"/>
      <c r="T97" s="40" t="str">
        <f aca="false">IF(R97="","",R97+Reference_Data!$AL$6)</f>
        <v/>
      </c>
      <c r="U97" s="31" t="str">
        <f aca="true">IF(C97="","",IF(Q97="Yes","Decertification Record",IF(J97="","—",IF(COUNTIFS($C$5:$C$304,C97,$F$5:$F$304,F97,$J$5:$J$304,"&gt;"&amp;J97)&gt;0,"Superseded",IF(COUNTIFS($C$5:$C$304,C97,$F$5:$F$304,F97,$R$5:$R$304,"&gt;="&amp;J97)&gt;0,"Decertified",IF(K97&lt;TODAY(),"Expired","Active"))))))</f>
        <v/>
      </c>
      <c r="V97" s="37"/>
      <c r="W97" s="12"/>
    </row>
    <row r="98" customFormat="false" ht="15" hidden="false" customHeight="false" outlineLevel="0" collapsed="false">
      <c r="A98" s="37"/>
      <c r="B98" s="38"/>
      <c r="C98" s="37"/>
      <c r="D98" s="31" t="str">
        <f aca="false">IF($C98="","",IFERROR(INDEX(Employee_Master!$B$5:$B$104,MATCH($C98,Employee_Master!$A$5:$A$104,0)),"ID not found"))</f>
        <v/>
      </c>
      <c r="E98" s="31" t="str">
        <f aca="false">IF($C98="","",IFERROR(INDEX(Employee_Master!$C$5:$C$104,MATCH($C98,Employee_Master!$A$5:$A$104,0)),"ID not found"))</f>
        <v/>
      </c>
      <c r="F98" s="37"/>
      <c r="G98" s="37"/>
      <c r="H98" s="37"/>
      <c r="I98" s="39"/>
      <c r="J98" s="38"/>
      <c r="K98" s="40" t="str">
        <f aca="false">IF(J98="","",EDATE(J98,Reference_Data!$AL$5))</f>
        <v/>
      </c>
      <c r="L98" s="37"/>
      <c r="M98" s="12"/>
      <c r="N98" s="41"/>
      <c r="O98" s="37"/>
      <c r="P98" s="31" t="str">
        <f aca="false">IF(O98="","",IFERROR(INDEX(Reference_Data!$J$5:$J$14,MATCH(O98,Reference_Data!$H$5:$H$14,0)),""))</f>
        <v/>
      </c>
      <c r="Q98" s="37"/>
      <c r="R98" s="38"/>
      <c r="S98" s="12"/>
      <c r="T98" s="40" t="str">
        <f aca="false">IF(R98="","",R98+Reference_Data!$AL$6)</f>
        <v/>
      </c>
      <c r="U98" s="31" t="str">
        <f aca="true">IF(C98="","",IF(Q98="Yes","Decertification Record",IF(J98="","—",IF(COUNTIFS($C$5:$C$304,C98,$F$5:$F$304,F98,$J$5:$J$304,"&gt;"&amp;J98)&gt;0,"Superseded",IF(COUNTIFS($C$5:$C$304,C98,$F$5:$F$304,F98,$R$5:$R$304,"&gt;="&amp;J98)&gt;0,"Decertified",IF(K98&lt;TODAY(),"Expired","Active"))))))</f>
        <v/>
      </c>
      <c r="V98" s="37"/>
      <c r="W98" s="12"/>
    </row>
    <row r="99" customFormat="false" ht="15" hidden="false" customHeight="false" outlineLevel="0" collapsed="false">
      <c r="A99" s="37"/>
      <c r="B99" s="38"/>
      <c r="C99" s="37"/>
      <c r="D99" s="31" t="str">
        <f aca="false">IF($C99="","",IFERROR(INDEX(Employee_Master!$B$5:$B$104,MATCH($C99,Employee_Master!$A$5:$A$104,0)),"ID not found"))</f>
        <v/>
      </c>
      <c r="E99" s="31" t="str">
        <f aca="false">IF($C99="","",IFERROR(INDEX(Employee_Master!$C$5:$C$104,MATCH($C99,Employee_Master!$A$5:$A$104,0)),"ID not found"))</f>
        <v/>
      </c>
      <c r="F99" s="37"/>
      <c r="G99" s="37"/>
      <c r="H99" s="37"/>
      <c r="I99" s="39"/>
      <c r="J99" s="38"/>
      <c r="K99" s="40" t="str">
        <f aca="false">IF(J99="","",EDATE(J99,Reference_Data!$AL$5))</f>
        <v/>
      </c>
      <c r="L99" s="37"/>
      <c r="M99" s="12"/>
      <c r="N99" s="41"/>
      <c r="O99" s="37"/>
      <c r="P99" s="31" t="str">
        <f aca="false">IF(O99="","",IFERROR(INDEX(Reference_Data!$J$5:$J$14,MATCH(O99,Reference_Data!$H$5:$H$14,0)),""))</f>
        <v/>
      </c>
      <c r="Q99" s="37"/>
      <c r="R99" s="38"/>
      <c r="S99" s="12"/>
      <c r="T99" s="40" t="str">
        <f aca="false">IF(R99="","",R99+Reference_Data!$AL$6)</f>
        <v/>
      </c>
      <c r="U99" s="31" t="str">
        <f aca="true">IF(C99="","",IF(Q99="Yes","Decertification Record",IF(J99="","—",IF(COUNTIFS($C$5:$C$304,C99,$F$5:$F$304,F99,$J$5:$J$304,"&gt;"&amp;J99)&gt;0,"Superseded",IF(COUNTIFS($C$5:$C$304,C99,$F$5:$F$304,F99,$R$5:$R$304,"&gt;="&amp;J99)&gt;0,"Decertified",IF(K99&lt;TODAY(),"Expired","Active"))))))</f>
        <v/>
      </c>
      <c r="V99" s="37"/>
      <c r="W99" s="12"/>
    </row>
    <row r="100" customFormat="false" ht="15" hidden="false" customHeight="false" outlineLevel="0" collapsed="false">
      <c r="A100" s="37"/>
      <c r="B100" s="38"/>
      <c r="C100" s="37"/>
      <c r="D100" s="31" t="str">
        <f aca="false">IF($C100="","",IFERROR(INDEX(Employee_Master!$B$5:$B$104,MATCH($C100,Employee_Master!$A$5:$A$104,0)),"ID not found"))</f>
        <v/>
      </c>
      <c r="E100" s="31" t="str">
        <f aca="false">IF($C100="","",IFERROR(INDEX(Employee_Master!$C$5:$C$104,MATCH($C100,Employee_Master!$A$5:$A$104,0)),"ID not found"))</f>
        <v/>
      </c>
      <c r="F100" s="37"/>
      <c r="G100" s="37"/>
      <c r="H100" s="37"/>
      <c r="I100" s="39"/>
      <c r="J100" s="38"/>
      <c r="K100" s="40" t="str">
        <f aca="false">IF(J100="","",EDATE(J100,Reference_Data!$AL$5))</f>
        <v/>
      </c>
      <c r="L100" s="37"/>
      <c r="M100" s="12"/>
      <c r="N100" s="41"/>
      <c r="O100" s="37"/>
      <c r="P100" s="31" t="str">
        <f aca="false">IF(O100="","",IFERROR(INDEX(Reference_Data!$J$5:$J$14,MATCH(O100,Reference_Data!$H$5:$H$14,0)),""))</f>
        <v/>
      </c>
      <c r="Q100" s="37"/>
      <c r="R100" s="38"/>
      <c r="S100" s="12"/>
      <c r="T100" s="40" t="str">
        <f aca="false">IF(R100="","",R100+Reference_Data!$AL$6)</f>
        <v/>
      </c>
      <c r="U100" s="31" t="str">
        <f aca="true">IF(C100="","",IF(Q100="Yes","Decertification Record",IF(J100="","—",IF(COUNTIFS($C$5:$C$304,C100,$F$5:$F$304,F100,$J$5:$J$304,"&gt;"&amp;J100)&gt;0,"Superseded",IF(COUNTIFS($C$5:$C$304,C100,$F$5:$F$304,F100,$R$5:$R$304,"&gt;="&amp;J100)&gt;0,"Decertified",IF(K100&lt;TODAY(),"Expired","Active"))))))</f>
        <v/>
      </c>
      <c r="V100" s="37"/>
      <c r="W100" s="12"/>
    </row>
    <row r="101" customFormat="false" ht="15" hidden="false" customHeight="false" outlineLevel="0" collapsed="false">
      <c r="A101" s="37"/>
      <c r="B101" s="38"/>
      <c r="C101" s="37"/>
      <c r="D101" s="31" t="str">
        <f aca="false">IF($C101="","",IFERROR(INDEX(Employee_Master!$B$5:$B$104,MATCH($C101,Employee_Master!$A$5:$A$104,0)),"ID not found"))</f>
        <v/>
      </c>
      <c r="E101" s="31" t="str">
        <f aca="false">IF($C101="","",IFERROR(INDEX(Employee_Master!$C$5:$C$104,MATCH($C101,Employee_Master!$A$5:$A$104,0)),"ID not found"))</f>
        <v/>
      </c>
      <c r="F101" s="37"/>
      <c r="G101" s="37"/>
      <c r="H101" s="37"/>
      <c r="I101" s="39"/>
      <c r="J101" s="38"/>
      <c r="K101" s="40" t="str">
        <f aca="false">IF(J101="","",EDATE(J101,Reference_Data!$AL$5))</f>
        <v/>
      </c>
      <c r="L101" s="37"/>
      <c r="M101" s="12"/>
      <c r="N101" s="41"/>
      <c r="O101" s="37"/>
      <c r="P101" s="31" t="str">
        <f aca="false">IF(O101="","",IFERROR(INDEX(Reference_Data!$J$5:$J$14,MATCH(O101,Reference_Data!$H$5:$H$14,0)),""))</f>
        <v/>
      </c>
      <c r="Q101" s="37"/>
      <c r="R101" s="38"/>
      <c r="S101" s="12"/>
      <c r="T101" s="40" t="str">
        <f aca="false">IF(R101="","",R101+Reference_Data!$AL$6)</f>
        <v/>
      </c>
      <c r="U101" s="31" t="str">
        <f aca="true">IF(C101="","",IF(Q101="Yes","Decertification Record",IF(J101="","—",IF(COUNTIFS($C$5:$C$304,C101,$F$5:$F$304,F101,$J$5:$J$304,"&gt;"&amp;J101)&gt;0,"Superseded",IF(COUNTIFS($C$5:$C$304,C101,$F$5:$F$304,F101,$R$5:$R$304,"&gt;="&amp;J101)&gt;0,"Decertified",IF(K101&lt;TODAY(),"Expired","Active"))))))</f>
        <v/>
      </c>
      <c r="V101" s="37"/>
      <c r="W101" s="12"/>
    </row>
    <row r="102" customFormat="false" ht="15" hidden="false" customHeight="false" outlineLevel="0" collapsed="false">
      <c r="A102" s="37"/>
      <c r="B102" s="38"/>
      <c r="C102" s="37"/>
      <c r="D102" s="31" t="str">
        <f aca="false">IF($C102="","",IFERROR(INDEX(Employee_Master!$B$5:$B$104,MATCH($C102,Employee_Master!$A$5:$A$104,0)),"ID not found"))</f>
        <v/>
      </c>
      <c r="E102" s="31" t="str">
        <f aca="false">IF($C102="","",IFERROR(INDEX(Employee_Master!$C$5:$C$104,MATCH($C102,Employee_Master!$A$5:$A$104,0)),"ID not found"))</f>
        <v/>
      </c>
      <c r="F102" s="37"/>
      <c r="G102" s="37"/>
      <c r="H102" s="37"/>
      <c r="I102" s="39"/>
      <c r="J102" s="38"/>
      <c r="K102" s="40" t="str">
        <f aca="false">IF(J102="","",EDATE(J102,Reference_Data!$AL$5))</f>
        <v/>
      </c>
      <c r="L102" s="37"/>
      <c r="M102" s="12"/>
      <c r="N102" s="41"/>
      <c r="O102" s="37"/>
      <c r="P102" s="31" t="str">
        <f aca="false">IF(O102="","",IFERROR(INDEX(Reference_Data!$J$5:$J$14,MATCH(O102,Reference_Data!$H$5:$H$14,0)),""))</f>
        <v/>
      </c>
      <c r="Q102" s="37"/>
      <c r="R102" s="38"/>
      <c r="S102" s="12"/>
      <c r="T102" s="40" t="str">
        <f aca="false">IF(R102="","",R102+Reference_Data!$AL$6)</f>
        <v/>
      </c>
      <c r="U102" s="31" t="str">
        <f aca="true">IF(C102="","",IF(Q102="Yes","Decertification Record",IF(J102="","—",IF(COUNTIFS($C$5:$C$304,C102,$F$5:$F$304,F102,$J$5:$J$304,"&gt;"&amp;J102)&gt;0,"Superseded",IF(COUNTIFS($C$5:$C$304,C102,$F$5:$F$304,F102,$R$5:$R$304,"&gt;="&amp;J102)&gt;0,"Decertified",IF(K102&lt;TODAY(),"Expired","Active"))))))</f>
        <v/>
      </c>
      <c r="V102" s="37"/>
      <c r="W102" s="12"/>
    </row>
    <row r="103" customFormat="false" ht="15" hidden="false" customHeight="false" outlineLevel="0" collapsed="false">
      <c r="A103" s="37"/>
      <c r="B103" s="38"/>
      <c r="C103" s="37"/>
      <c r="D103" s="31" t="str">
        <f aca="false">IF($C103="","",IFERROR(INDEX(Employee_Master!$B$5:$B$104,MATCH($C103,Employee_Master!$A$5:$A$104,0)),"ID not found"))</f>
        <v/>
      </c>
      <c r="E103" s="31" t="str">
        <f aca="false">IF($C103="","",IFERROR(INDEX(Employee_Master!$C$5:$C$104,MATCH($C103,Employee_Master!$A$5:$A$104,0)),"ID not found"))</f>
        <v/>
      </c>
      <c r="F103" s="37"/>
      <c r="G103" s="37"/>
      <c r="H103" s="37"/>
      <c r="I103" s="39"/>
      <c r="J103" s="38"/>
      <c r="K103" s="40" t="str">
        <f aca="false">IF(J103="","",EDATE(J103,Reference_Data!$AL$5))</f>
        <v/>
      </c>
      <c r="L103" s="37"/>
      <c r="M103" s="12"/>
      <c r="N103" s="41"/>
      <c r="O103" s="37"/>
      <c r="P103" s="31" t="str">
        <f aca="false">IF(O103="","",IFERROR(INDEX(Reference_Data!$J$5:$J$14,MATCH(O103,Reference_Data!$H$5:$H$14,0)),""))</f>
        <v/>
      </c>
      <c r="Q103" s="37"/>
      <c r="R103" s="38"/>
      <c r="S103" s="12"/>
      <c r="T103" s="40" t="str">
        <f aca="false">IF(R103="","",R103+Reference_Data!$AL$6)</f>
        <v/>
      </c>
      <c r="U103" s="31" t="str">
        <f aca="true">IF(C103="","",IF(Q103="Yes","Decertification Record",IF(J103="","—",IF(COUNTIFS($C$5:$C$304,C103,$F$5:$F$304,F103,$J$5:$J$304,"&gt;"&amp;J103)&gt;0,"Superseded",IF(COUNTIFS($C$5:$C$304,C103,$F$5:$F$304,F103,$R$5:$R$304,"&gt;="&amp;J103)&gt;0,"Decertified",IF(K103&lt;TODAY(),"Expired","Active"))))))</f>
        <v/>
      </c>
      <c r="V103" s="37"/>
      <c r="W103" s="12"/>
    </row>
    <row r="104" customFormat="false" ht="15" hidden="false" customHeight="false" outlineLevel="0" collapsed="false">
      <c r="A104" s="37"/>
      <c r="B104" s="38"/>
      <c r="C104" s="37"/>
      <c r="D104" s="31" t="str">
        <f aca="false">IF($C104="","",IFERROR(INDEX(Employee_Master!$B$5:$B$104,MATCH($C104,Employee_Master!$A$5:$A$104,0)),"ID not found"))</f>
        <v/>
      </c>
      <c r="E104" s="31" t="str">
        <f aca="false">IF($C104="","",IFERROR(INDEX(Employee_Master!$C$5:$C$104,MATCH($C104,Employee_Master!$A$5:$A$104,0)),"ID not found"))</f>
        <v/>
      </c>
      <c r="F104" s="37"/>
      <c r="G104" s="37"/>
      <c r="H104" s="37"/>
      <c r="I104" s="39"/>
      <c r="J104" s="38"/>
      <c r="K104" s="40" t="str">
        <f aca="false">IF(J104="","",EDATE(J104,Reference_Data!$AL$5))</f>
        <v/>
      </c>
      <c r="L104" s="37"/>
      <c r="M104" s="12"/>
      <c r="N104" s="41"/>
      <c r="O104" s="37"/>
      <c r="P104" s="31" t="str">
        <f aca="false">IF(O104="","",IFERROR(INDEX(Reference_Data!$J$5:$J$14,MATCH(O104,Reference_Data!$H$5:$H$14,0)),""))</f>
        <v/>
      </c>
      <c r="Q104" s="37"/>
      <c r="R104" s="38"/>
      <c r="S104" s="12"/>
      <c r="T104" s="40" t="str">
        <f aca="false">IF(R104="","",R104+Reference_Data!$AL$6)</f>
        <v/>
      </c>
      <c r="U104" s="31" t="str">
        <f aca="true">IF(C104="","",IF(Q104="Yes","Decertification Record",IF(J104="","—",IF(COUNTIFS($C$5:$C$304,C104,$F$5:$F$304,F104,$J$5:$J$304,"&gt;"&amp;J104)&gt;0,"Superseded",IF(COUNTIFS($C$5:$C$304,C104,$F$5:$F$304,F104,$R$5:$R$304,"&gt;="&amp;J104)&gt;0,"Decertified",IF(K104&lt;TODAY(),"Expired","Active"))))))</f>
        <v/>
      </c>
      <c r="V104" s="37"/>
      <c r="W104" s="12"/>
    </row>
    <row r="105" customFormat="false" ht="15" hidden="false" customHeight="false" outlineLevel="0" collapsed="false">
      <c r="A105" s="37"/>
      <c r="B105" s="38"/>
      <c r="C105" s="37"/>
      <c r="D105" s="31" t="str">
        <f aca="false">IF($C105="","",IFERROR(INDEX(Employee_Master!$B$5:$B$104,MATCH($C105,Employee_Master!$A$5:$A$104,0)),"ID not found"))</f>
        <v/>
      </c>
      <c r="E105" s="31" t="str">
        <f aca="false">IF($C105="","",IFERROR(INDEX(Employee_Master!$C$5:$C$104,MATCH($C105,Employee_Master!$A$5:$A$104,0)),"ID not found"))</f>
        <v/>
      </c>
      <c r="F105" s="37"/>
      <c r="G105" s="37"/>
      <c r="H105" s="37"/>
      <c r="I105" s="39"/>
      <c r="J105" s="38"/>
      <c r="K105" s="40" t="str">
        <f aca="false">IF(J105="","",EDATE(J105,Reference_Data!$AL$5))</f>
        <v/>
      </c>
      <c r="L105" s="37"/>
      <c r="M105" s="12"/>
      <c r="N105" s="41"/>
      <c r="O105" s="37"/>
      <c r="P105" s="31" t="str">
        <f aca="false">IF(O105="","",IFERROR(INDEX(Reference_Data!$J$5:$J$14,MATCH(O105,Reference_Data!$H$5:$H$14,0)),""))</f>
        <v/>
      </c>
      <c r="Q105" s="37"/>
      <c r="R105" s="38"/>
      <c r="S105" s="12"/>
      <c r="T105" s="40" t="str">
        <f aca="false">IF(R105="","",R105+Reference_Data!$AL$6)</f>
        <v/>
      </c>
      <c r="U105" s="31" t="str">
        <f aca="true">IF(C105="","",IF(Q105="Yes","Decertification Record",IF(J105="","—",IF(COUNTIFS($C$5:$C$304,C105,$F$5:$F$304,F105,$J$5:$J$304,"&gt;"&amp;J105)&gt;0,"Superseded",IF(COUNTIFS($C$5:$C$304,C105,$F$5:$F$304,F105,$R$5:$R$304,"&gt;="&amp;J105)&gt;0,"Decertified",IF(K105&lt;TODAY(),"Expired","Active"))))))</f>
        <v/>
      </c>
      <c r="V105" s="37"/>
      <c r="W105" s="12"/>
    </row>
    <row r="106" customFormat="false" ht="15" hidden="false" customHeight="false" outlineLevel="0" collapsed="false">
      <c r="A106" s="37"/>
      <c r="B106" s="38"/>
      <c r="C106" s="37"/>
      <c r="D106" s="31" t="str">
        <f aca="false">IF($C106="","",IFERROR(INDEX(Employee_Master!$B$5:$B$104,MATCH($C106,Employee_Master!$A$5:$A$104,0)),"ID not found"))</f>
        <v/>
      </c>
      <c r="E106" s="31" t="str">
        <f aca="false">IF($C106="","",IFERROR(INDEX(Employee_Master!$C$5:$C$104,MATCH($C106,Employee_Master!$A$5:$A$104,0)),"ID not found"))</f>
        <v/>
      </c>
      <c r="F106" s="37"/>
      <c r="G106" s="37"/>
      <c r="H106" s="37"/>
      <c r="I106" s="39"/>
      <c r="J106" s="38"/>
      <c r="K106" s="40" t="str">
        <f aca="false">IF(J106="","",EDATE(J106,Reference_Data!$AL$5))</f>
        <v/>
      </c>
      <c r="L106" s="37"/>
      <c r="M106" s="12"/>
      <c r="N106" s="41"/>
      <c r="O106" s="37"/>
      <c r="P106" s="31" t="str">
        <f aca="false">IF(O106="","",IFERROR(INDEX(Reference_Data!$J$5:$J$14,MATCH(O106,Reference_Data!$H$5:$H$14,0)),""))</f>
        <v/>
      </c>
      <c r="Q106" s="37"/>
      <c r="R106" s="38"/>
      <c r="S106" s="12"/>
      <c r="T106" s="40" t="str">
        <f aca="false">IF(R106="","",R106+Reference_Data!$AL$6)</f>
        <v/>
      </c>
      <c r="U106" s="31" t="str">
        <f aca="true">IF(C106="","",IF(Q106="Yes","Decertification Record",IF(J106="","—",IF(COUNTIFS($C$5:$C$304,C106,$F$5:$F$304,F106,$J$5:$J$304,"&gt;"&amp;J106)&gt;0,"Superseded",IF(COUNTIFS($C$5:$C$304,C106,$F$5:$F$304,F106,$R$5:$R$304,"&gt;="&amp;J106)&gt;0,"Decertified",IF(K106&lt;TODAY(),"Expired","Active"))))))</f>
        <v/>
      </c>
      <c r="V106" s="37"/>
      <c r="W106" s="12"/>
    </row>
    <row r="107" customFormat="false" ht="15" hidden="false" customHeight="false" outlineLevel="0" collapsed="false">
      <c r="A107" s="37"/>
      <c r="B107" s="38"/>
      <c r="C107" s="37"/>
      <c r="D107" s="31" t="str">
        <f aca="false">IF($C107="","",IFERROR(INDEX(Employee_Master!$B$5:$B$104,MATCH($C107,Employee_Master!$A$5:$A$104,0)),"ID not found"))</f>
        <v/>
      </c>
      <c r="E107" s="31" t="str">
        <f aca="false">IF($C107="","",IFERROR(INDEX(Employee_Master!$C$5:$C$104,MATCH($C107,Employee_Master!$A$5:$A$104,0)),"ID not found"))</f>
        <v/>
      </c>
      <c r="F107" s="37"/>
      <c r="G107" s="37"/>
      <c r="H107" s="37"/>
      <c r="I107" s="39"/>
      <c r="J107" s="38"/>
      <c r="K107" s="40" t="str">
        <f aca="false">IF(J107="","",EDATE(J107,Reference_Data!$AL$5))</f>
        <v/>
      </c>
      <c r="L107" s="37"/>
      <c r="M107" s="12"/>
      <c r="N107" s="41"/>
      <c r="O107" s="37"/>
      <c r="P107" s="31" t="str">
        <f aca="false">IF(O107="","",IFERROR(INDEX(Reference_Data!$J$5:$J$14,MATCH(O107,Reference_Data!$H$5:$H$14,0)),""))</f>
        <v/>
      </c>
      <c r="Q107" s="37"/>
      <c r="R107" s="38"/>
      <c r="S107" s="12"/>
      <c r="T107" s="40" t="str">
        <f aca="false">IF(R107="","",R107+Reference_Data!$AL$6)</f>
        <v/>
      </c>
      <c r="U107" s="31" t="str">
        <f aca="true">IF(C107="","",IF(Q107="Yes","Decertification Record",IF(J107="","—",IF(COUNTIFS($C$5:$C$304,C107,$F$5:$F$304,F107,$J$5:$J$304,"&gt;"&amp;J107)&gt;0,"Superseded",IF(COUNTIFS($C$5:$C$304,C107,$F$5:$F$304,F107,$R$5:$R$304,"&gt;="&amp;J107)&gt;0,"Decertified",IF(K107&lt;TODAY(),"Expired","Active"))))))</f>
        <v/>
      </c>
      <c r="V107" s="37"/>
      <c r="W107" s="12"/>
    </row>
    <row r="108" customFormat="false" ht="15" hidden="false" customHeight="false" outlineLevel="0" collapsed="false">
      <c r="A108" s="37"/>
      <c r="B108" s="38"/>
      <c r="C108" s="37"/>
      <c r="D108" s="31" t="str">
        <f aca="false">IF($C108="","",IFERROR(INDEX(Employee_Master!$B$5:$B$104,MATCH($C108,Employee_Master!$A$5:$A$104,0)),"ID not found"))</f>
        <v/>
      </c>
      <c r="E108" s="31" t="str">
        <f aca="false">IF($C108="","",IFERROR(INDEX(Employee_Master!$C$5:$C$104,MATCH($C108,Employee_Master!$A$5:$A$104,0)),"ID not found"))</f>
        <v/>
      </c>
      <c r="F108" s="37"/>
      <c r="G108" s="37"/>
      <c r="H108" s="37"/>
      <c r="I108" s="39"/>
      <c r="J108" s="38"/>
      <c r="K108" s="40" t="str">
        <f aca="false">IF(J108="","",EDATE(J108,Reference_Data!$AL$5))</f>
        <v/>
      </c>
      <c r="L108" s="37"/>
      <c r="M108" s="12"/>
      <c r="N108" s="41"/>
      <c r="O108" s="37"/>
      <c r="P108" s="31" t="str">
        <f aca="false">IF(O108="","",IFERROR(INDEX(Reference_Data!$J$5:$J$14,MATCH(O108,Reference_Data!$H$5:$H$14,0)),""))</f>
        <v/>
      </c>
      <c r="Q108" s="37"/>
      <c r="R108" s="38"/>
      <c r="S108" s="12"/>
      <c r="T108" s="40" t="str">
        <f aca="false">IF(R108="","",R108+Reference_Data!$AL$6)</f>
        <v/>
      </c>
      <c r="U108" s="31" t="str">
        <f aca="true">IF(C108="","",IF(Q108="Yes","Decertification Record",IF(J108="","—",IF(COUNTIFS($C$5:$C$304,C108,$F$5:$F$304,F108,$J$5:$J$304,"&gt;"&amp;J108)&gt;0,"Superseded",IF(COUNTIFS($C$5:$C$304,C108,$F$5:$F$304,F108,$R$5:$R$304,"&gt;="&amp;J108)&gt;0,"Decertified",IF(K108&lt;TODAY(),"Expired","Active"))))))</f>
        <v/>
      </c>
      <c r="V108" s="37"/>
      <c r="W108" s="12"/>
    </row>
    <row r="109" customFormat="false" ht="15" hidden="false" customHeight="false" outlineLevel="0" collapsed="false">
      <c r="A109" s="37"/>
      <c r="B109" s="38"/>
      <c r="C109" s="37"/>
      <c r="D109" s="31" t="str">
        <f aca="false">IF($C109="","",IFERROR(INDEX(Employee_Master!$B$5:$B$104,MATCH($C109,Employee_Master!$A$5:$A$104,0)),"ID not found"))</f>
        <v/>
      </c>
      <c r="E109" s="31" t="str">
        <f aca="false">IF($C109="","",IFERROR(INDEX(Employee_Master!$C$5:$C$104,MATCH($C109,Employee_Master!$A$5:$A$104,0)),"ID not found"))</f>
        <v/>
      </c>
      <c r="F109" s="37"/>
      <c r="G109" s="37"/>
      <c r="H109" s="37"/>
      <c r="I109" s="39"/>
      <c r="J109" s="38"/>
      <c r="K109" s="40" t="str">
        <f aca="false">IF(J109="","",EDATE(J109,Reference_Data!$AL$5))</f>
        <v/>
      </c>
      <c r="L109" s="37"/>
      <c r="M109" s="12"/>
      <c r="N109" s="41"/>
      <c r="O109" s="37"/>
      <c r="P109" s="31" t="str">
        <f aca="false">IF(O109="","",IFERROR(INDEX(Reference_Data!$J$5:$J$14,MATCH(O109,Reference_Data!$H$5:$H$14,0)),""))</f>
        <v/>
      </c>
      <c r="Q109" s="37"/>
      <c r="R109" s="38"/>
      <c r="S109" s="12"/>
      <c r="T109" s="40" t="str">
        <f aca="false">IF(R109="","",R109+Reference_Data!$AL$6)</f>
        <v/>
      </c>
      <c r="U109" s="31" t="str">
        <f aca="true">IF(C109="","",IF(Q109="Yes","Decertification Record",IF(J109="","—",IF(COUNTIFS($C$5:$C$304,C109,$F$5:$F$304,F109,$J$5:$J$304,"&gt;"&amp;J109)&gt;0,"Superseded",IF(COUNTIFS($C$5:$C$304,C109,$F$5:$F$304,F109,$R$5:$R$304,"&gt;="&amp;J109)&gt;0,"Decertified",IF(K109&lt;TODAY(),"Expired","Active"))))))</f>
        <v/>
      </c>
      <c r="V109" s="37"/>
      <c r="W109" s="12"/>
    </row>
    <row r="110" customFormat="false" ht="15" hidden="false" customHeight="false" outlineLevel="0" collapsed="false">
      <c r="A110" s="37"/>
      <c r="B110" s="38"/>
      <c r="C110" s="37"/>
      <c r="D110" s="31" t="str">
        <f aca="false">IF($C110="","",IFERROR(INDEX(Employee_Master!$B$5:$B$104,MATCH($C110,Employee_Master!$A$5:$A$104,0)),"ID not found"))</f>
        <v/>
      </c>
      <c r="E110" s="31" t="str">
        <f aca="false">IF($C110="","",IFERROR(INDEX(Employee_Master!$C$5:$C$104,MATCH($C110,Employee_Master!$A$5:$A$104,0)),"ID not found"))</f>
        <v/>
      </c>
      <c r="F110" s="37"/>
      <c r="G110" s="37"/>
      <c r="H110" s="37"/>
      <c r="I110" s="39"/>
      <c r="J110" s="38"/>
      <c r="K110" s="40" t="str">
        <f aca="false">IF(J110="","",EDATE(J110,Reference_Data!$AL$5))</f>
        <v/>
      </c>
      <c r="L110" s="37"/>
      <c r="M110" s="12"/>
      <c r="N110" s="41"/>
      <c r="O110" s="37"/>
      <c r="P110" s="31" t="str">
        <f aca="false">IF(O110="","",IFERROR(INDEX(Reference_Data!$J$5:$J$14,MATCH(O110,Reference_Data!$H$5:$H$14,0)),""))</f>
        <v/>
      </c>
      <c r="Q110" s="37"/>
      <c r="R110" s="38"/>
      <c r="S110" s="12"/>
      <c r="T110" s="40" t="str">
        <f aca="false">IF(R110="","",R110+Reference_Data!$AL$6)</f>
        <v/>
      </c>
      <c r="U110" s="31" t="str">
        <f aca="true">IF(C110="","",IF(Q110="Yes","Decertification Record",IF(J110="","—",IF(COUNTIFS($C$5:$C$304,C110,$F$5:$F$304,F110,$J$5:$J$304,"&gt;"&amp;J110)&gt;0,"Superseded",IF(COUNTIFS($C$5:$C$304,C110,$F$5:$F$304,F110,$R$5:$R$304,"&gt;="&amp;J110)&gt;0,"Decertified",IF(K110&lt;TODAY(),"Expired","Active"))))))</f>
        <v/>
      </c>
      <c r="V110" s="37"/>
      <c r="W110" s="12"/>
    </row>
    <row r="111" customFormat="false" ht="15" hidden="false" customHeight="false" outlineLevel="0" collapsed="false">
      <c r="A111" s="37"/>
      <c r="B111" s="38"/>
      <c r="C111" s="37"/>
      <c r="D111" s="31" t="str">
        <f aca="false">IF($C111="","",IFERROR(INDEX(Employee_Master!$B$5:$B$104,MATCH($C111,Employee_Master!$A$5:$A$104,0)),"ID not found"))</f>
        <v/>
      </c>
      <c r="E111" s="31" t="str">
        <f aca="false">IF($C111="","",IFERROR(INDEX(Employee_Master!$C$5:$C$104,MATCH($C111,Employee_Master!$A$5:$A$104,0)),"ID not found"))</f>
        <v/>
      </c>
      <c r="F111" s="37"/>
      <c r="G111" s="37"/>
      <c r="H111" s="37"/>
      <c r="I111" s="39"/>
      <c r="J111" s="38"/>
      <c r="K111" s="40" t="str">
        <f aca="false">IF(J111="","",EDATE(J111,Reference_Data!$AL$5))</f>
        <v/>
      </c>
      <c r="L111" s="37"/>
      <c r="M111" s="12"/>
      <c r="N111" s="41"/>
      <c r="O111" s="37"/>
      <c r="P111" s="31" t="str">
        <f aca="false">IF(O111="","",IFERROR(INDEX(Reference_Data!$J$5:$J$14,MATCH(O111,Reference_Data!$H$5:$H$14,0)),""))</f>
        <v/>
      </c>
      <c r="Q111" s="37"/>
      <c r="R111" s="38"/>
      <c r="S111" s="12"/>
      <c r="T111" s="40" t="str">
        <f aca="false">IF(R111="","",R111+Reference_Data!$AL$6)</f>
        <v/>
      </c>
      <c r="U111" s="31" t="str">
        <f aca="true">IF(C111="","",IF(Q111="Yes","Decertification Record",IF(J111="","—",IF(COUNTIFS($C$5:$C$304,C111,$F$5:$F$304,F111,$J$5:$J$304,"&gt;"&amp;J111)&gt;0,"Superseded",IF(COUNTIFS($C$5:$C$304,C111,$F$5:$F$304,F111,$R$5:$R$304,"&gt;="&amp;J111)&gt;0,"Decertified",IF(K111&lt;TODAY(),"Expired","Active"))))))</f>
        <v/>
      </c>
      <c r="V111" s="37"/>
      <c r="W111" s="12"/>
    </row>
    <row r="112" customFormat="false" ht="15" hidden="false" customHeight="false" outlineLevel="0" collapsed="false">
      <c r="A112" s="37"/>
      <c r="B112" s="38"/>
      <c r="C112" s="37"/>
      <c r="D112" s="31" t="str">
        <f aca="false">IF($C112="","",IFERROR(INDEX(Employee_Master!$B$5:$B$104,MATCH($C112,Employee_Master!$A$5:$A$104,0)),"ID not found"))</f>
        <v/>
      </c>
      <c r="E112" s="31" t="str">
        <f aca="false">IF($C112="","",IFERROR(INDEX(Employee_Master!$C$5:$C$104,MATCH($C112,Employee_Master!$A$5:$A$104,0)),"ID not found"))</f>
        <v/>
      </c>
      <c r="F112" s="37"/>
      <c r="G112" s="37"/>
      <c r="H112" s="37"/>
      <c r="I112" s="39"/>
      <c r="J112" s="38"/>
      <c r="K112" s="40" t="str">
        <f aca="false">IF(J112="","",EDATE(J112,Reference_Data!$AL$5))</f>
        <v/>
      </c>
      <c r="L112" s="37"/>
      <c r="M112" s="12"/>
      <c r="N112" s="41"/>
      <c r="O112" s="37"/>
      <c r="P112" s="31" t="str">
        <f aca="false">IF(O112="","",IFERROR(INDEX(Reference_Data!$J$5:$J$14,MATCH(O112,Reference_Data!$H$5:$H$14,0)),""))</f>
        <v/>
      </c>
      <c r="Q112" s="37"/>
      <c r="R112" s="38"/>
      <c r="S112" s="12"/>
      <c r="T112" s="40" t="str">
        <f aca="false">IF(R112="","",R112+Reference_Data!$AL$6)</f>
        <v/>
      </c>
      <c r="U112" s="31" t="str">
        <f aca="true">IF(C112="","",IF(Q112="Yes","Decertification Record",IF(J112="","—",IF(COUNTIFS($C$5:$C$304,C112,$F$5:$F$304,F112,$J$5:$J$304,"&gt;"&amp;J112)&gt;0,"Superseded",IF(COUNTIFS($C$5:$C$304,C112,$F$5:$F$304,F112,$R$5:$R$304,"&gt;="&amp;J112)&gt;0,"Decertified",IF(K112&lt;TODAY(),"Expired","Active"))))))</f>
        <v/>
      </c>
      <c r="V112" s="37"/>
      <c r="W112" s="12"/>
    </row>
    <row r="113" customFormat="false" ht="15" hidden="false" customHeight="false" outlineLevel="0" collapsed="false">
      <c r="A113" s="37"/>
      <c r="B113" s="38"/>
      <c r="C113" s="37"/>
      <c r="D113" s="31" t="str">
        <f aca="false">IF($C113="","",IFERROR(INDEX(Employee_Master!$B$5:$B$104,MATCH($C113,Employee_Master!$A$5:$A$104,0)),"ID not found"))</f>
        <v/>
      </c>
      <c r="E113" s="31" t="str">
        <f aca="false">IF($C113="","",IFERROR(INDEX(Employee_Master!$C$5:$C$104,MATCH($C113,Employee_Master!$A$5:$A$104,0)),"ID not found"))</f>
        <v/>
      </c>
      <c r="F113" s="37"/>
      <c r="G113" s="37"/>
      <c r="H113" s="37"/>
      <c r="I113" s="39"/>
      <c r="J113" s="38"/>
      <c r="K113" s="40" t="str">
        <f aca="false">IF(J113="","",EDATE(J113,Reference_Data!$AL$5))</f>
        <v/>
      </c>
      <c r="L113" s="37"/>
      <c r="M113" s="12"/>
      <c r="N113" s="41"/>
      <c r="O113" s="37"/>
      <c r="P113" s="31" t="str">
        <f aca="false">IF(O113="","",IFERROR(INDEX(Reference_Data!$J$5:$J$14,MATCH(O113,Reference_Data!$H$5:$H$14,0)),""))</f>
        <v/>
      </c>
      <c r="Q113" s="37"/>
      <c r="R113" s="38"/>
      <c r="S113" s="12"/>
      <c r="T113" s="40" t="str">
        <f aca="false">IF(R113="","",R113+Reference_Data!$AL$6)</f>
        <v/>
      </c>
      <c r="U113" s="31" t="str">
        <f aca="true">IF(C113="","",IF(Q113="Yes","Decertification Record",IF(J113="","—",IF(COUNTIFS($C$5:$C$304,C113,$F$5:$F$304,F113,$J$5:$J$304,"&gt;"&amp;J113)&gt;0,"Superseded",IF(COUNTIFS($C$5:$C$304,C113,$F$5:$F$304,F113,$R$5:$R$304,"&gt;="&amp;J113)&gt;0,"Decertified",IF(K113&lt;TODAY(),"Expired","Active"))))))</f>
        <v/>
      </c>
      <c r="V113" s="37"/>
      <c r="W113" s="12"/>
    </row>
    <row r="114" customFormat="false" ht="15" hidden="false" customHeight="false" outlineLevel="0" collapsed="false">
      <c r="A114" s="37"/>
      <c r="B114" s="38"/>
      <c r="C114" s="37"/>
      <c r="D114" s="31" t="str">
        <f aca="false">IF($C114="","",IFERROR(INDEX(Employee_Master!$B$5:$B$104,MATCH($C114,Employee_Master!$A$5:$A$104,0)),"ID not found"))</f>
        <v/>
      </c>
      <c r="E114" s="31" t="str">
        <f aca="false">IF($C114="","",IFERROR(INDEX(Employee_Master!$C$5:$C$104,MATCH($C114,Employee_Master!$A$5:$A$104,0)),"ID not found"))</f>
        <v/>
      </c>
      <c r="F114" s="37"/>
      <c r="G114" s="37"/>
      <c r="H114" s="37"/>
      <c r="I114" s="39"/>
      <c r="J114" s="38"/>
      <c r="K114" s="40" t="str">
        <f aca="false">IF(J114="","",EDATE(J114,Reference_Data!$AL$5))</f>
        <v/>
      </c>
      <c r="L114" s="37"/>
      <c r="M114" s="12"/>
      <c r="N114" s="41"/>
      <c r="O114" s="37"/>
      <c r="P114" s="31" t="str">
        <f aca="false">IF(O114="","",IFERROR(INDEX(Reference_Data!$J$5:$J$14,MATCH(O114,Reference_Data!$H$5:$H$14,0)),""))</f>
        <v/>
      </c>
      <c r="Q114" s="37"/>
      <c r="R114" s="38"/>
      <c r="S114" s="12"/>
      <c r="T114" s="40" t="str">
        <f aca="false">IF(R114="","",R114+Reference_Data!$AL$6)</f>
        <v/>
      </c>
      <c r="U114" s="31" t="str">
        <f aca="true">IF(C114="","",IF(Q114="Yes","Decertification Record",IF(J114="","—",IF(COUNTIFS($C$5:$C$304,C114,$F$5:$F$304,F114,$J$5:$J$304,"&gt;"&amp;J114)&gt;0,"Superseded",IF(COUNTIFS($C$5:$C$304,C114,$F$5:$F$304,F114,$R$5:$R$304,"&gt;="&amp;J114)&gt;0,"Decertified",IF(K114&lt;TODAY(),"Expired","Active"))))))</f>
        <v/>
      </c>
      <c r="V114" s="37"/>
      <c r="W114" s="12"/>
    </row>
    <row r="115" customFormat="false" ht="15" hidden="false" customHeight="false" outlineLevel="0" collapsed="false">
      <c r="A115" s="37"/>
      <c r="B115" s="38"/>
      <c r="C115" s="37"/>
      <c r="D115" s="31" t="str">
        <f aca="false">IF($C115="","",IFERROR(INDEX(Employee_Master!$B$5:$B$104,MATCH($C115,Employee_Master!$A$5:$A$104,0)),"ID not found"))</f>
        <v/>
      </c>
      <c r="E115" s="31" t="str">
        <f aca="false">IF($C115="","",IFERROR(INDEX(Employee_Master!$C$5:$C$104,MATCH($C115,Employee_Master!$A$5:$A$104,0)),"ID not found"))</f>
        <v/>
      </c>
      <c r="F115" s="37"/>
      <c r="G115" s="37"/>
      <c r="H115" s="37"/>
      <c r="I115" s="39"/>
      <c r="J115" s="38"/>
      <c r="K115" s="40" t="str">
        <f aca="false">IF(J115="","",EDATE(J115,Reference_Data!$AL$5))</f>
        <v/>
      </c>
      <c r="L115" s="37"/>
      <c r="M115" s="12"/>
      <c r="N115" s="41"/>
      <c r="O115" s="37"/>
      <c r="P115" s="31" t="str">
        <f aca="false">IF(O115="","",IFERROR(INDEX(Reference_Data!$J$5:$J$14,MATCH(O115,Reference_Data!$H$5:$H$14,0)),""))</f>
        <v/>
      </c>
      <c r="Q115" s="37"/>
      <c r="R115" s="38"/>
      <c r="S115" s="12"/>
      <c r="T115" s="40" t="str">
        <f aca="false">IF(R115="","",R115+Reference_Data!$AL$6)</f>
        <v/>
      </c>
      <c r="U115" s="31" t="str">
        <f aca="true">IF(C115="","",IF(Q115="Yes","Decertification Record",IF(J115="","—",IF(COUNTIFS($C$5:$C$304,C115,$F$5:$F$304,F115,$J$5:$J$304,"&gt;"&amp;J115)&gt;0,"Superseded",IF(COUNTIFS($C$5:$C$304,C115,$F$5:$F$304,F115,$R$5:$R$304,"&gt;="&amp;J115)&gt;0,"Decertified",IF(K115&lt;TODAY(),"Expired","Active"))))))</f>
        <v/>
      </c>
      <c r="V115" s="37"/>
      <c r="W115" s="12"/>
    </row>
    <row r="116" customFormat="false" ht="15" hidden="false" customHeight="false" outlineLevel="0" collapsed="false">
      <c r="A116" s="37"/>
      <c r="B116" s="38"/>
      <c r="C116" s="37"/>
      <c r="D116" s="31" t="str">
        <f aca="false">IF($C116="","",IFERROR(INDEX(Employee_Master!$B$5:$B$104,MATCH($C116,Employee_Master!$A$5:$A$104,0)),"ID not found"))</f>
        <v/>
      </c>
      <c r="E116" s="31" t="str">
        <f aca="false">IF($C116="","",IFERROR(INDEX(Employee_Master!$C$5:$C$104,MATCH($C116,Employee_Master!$A$5:$A$104,0)),"ID not found"))</f>
        <v/>
      </c>
      <c r="F116" s="37"/>
      <c r="G116" s="37"/>
      <c r="H116" s="37"/>
      <c r="I116" s="39"/>
      <c r="J116" s="38"/>
      <c r="K116" s="40" t="str">
        <f aca="false">IF(J116="","",EDATE(J116,Reference_Data!$AL$5))</f>
        <v/>
      </c>
      <c r="L116" s="37"/>
      <c r="M116" s="12"/>
      <c r="N116" s="41"/>
      <c r="O116" s="37"/>
      <c r="P116" s="31" t="str">
        <f aca="false">IF(O116="","",IFERROR(INDEX(Reference_Data!$J$5:$J$14,MATCH(O116,Reference_Data!$H$5:$H$14,0)),""))</f>
        <v/>
      </c>
      <c r="Q116" s="37"/>
      <c r="R116" s="38"/>
      <c r="S116" s="12"/>
      <c r="T116" s="40" t="str">
        <f aca="false">IF(R116="","",R116+Reference_Data!$AL$6)</f>
        <v/>
      </c>
      <c r="U116" s="31" t="str">
        <f aca="true">IF(C116="","",IF(Q116="Yes","Decertification Record",IF(J116="","—",IF(COUNTIFS($C$5:$C$304,C116,$F$5:$F$304,F116,$J$5:$J$304,"&gt;"&amp;J116)&gt;0,"Superseded",IF(COUNTIFS($C$5:$C$304,C116,$F$5:$F$304,F116,$R$5:$R$304,"&gt;="&amp;J116)&gt;0,"Decertified",IF(K116&lt;TODAY(),"Expired","Active"))))))</f>
        <v/>
      </c>
      <c r="V116" s="37"/>
      <c r="W116" s="12"/>
    </row>
    <row r="117" customFormat="false" ht="15" hidden="false" customHeight="false" outlineLevel="0" collapsed="false">
      <c r="A117" s="37"/>
      <c r="B117" s="38"/>
      <c r="C117" s="37"/>
      <c r="D117" s="31" t="str">
        <f aca="false">IF($C117="","",IFERROR(INDEX(Employee_Master!$B$5:$B$104,MATCH($C117,Employee_Master!$A$5:$A$104,0)),"ID not found"))</f>
        <v/>
      </c>
      <c r="E117" s="31" t="str">
        <f aca="false">IF($C117="","",IFERROR(INDEX(Employee_Master!$C$5:$C$104,MATCH($C117,Employee_Master!$A$5:$A$104,0)),"ID not found"))</f>
        <v/>
      </c>
      <c r="F117" s="37"/>
      <c r="G117" s="37"/>
      <c r="H117" s="37"/>
      <c r="I117" s="39"/>
      <c r="J117" s="38"/>
      <c r="K117" s="40" t="str">
        <f aca="false">IF(J117="","",EDATE(J117,Reference_Data!$AL$5))</f>
        <v/>
      </c>
      <c r="L117" s="37"/>
      <c r="M117" s="12"/>
      <c r="N117" s="41"/>
      <c r="O117" s="37"/>
      <c r="P117" s="31" t="str">
        <f aca="false">IF(O117="","",IFERROR(INDEX(Reference_Data!$J$5:$J$14,MATCH(O117,Reference_Data!$H$5:$H$14,0)),""))</f>
        <v/>
      </c>
      <c r="Q117" s="37"/>
      <c r="R117" s="38"/>
      <c r="S117" s="12"/>
      <c r="T117" s="40" t="str">
        <f aca="false">IF(R117="","",R117+Reference_Data!$AL$6)</f>
        <v/>
      </c>
      <c r="U117" s="31" t="str">
        <f aca="true">IF(C117="","",IF(Q117="Yes","Decertification Record",IF(J117="","—",IF(COUNTIFS($C$5:$C$304,C117,$F$5:$F$304,F117,$J$5:$J$304,"&gt;"&amp;J117)&gt;0,"Superseded",IF(COUNTIFS($C$5:$C$304,C117,$F$5:$F$304,F117,$R$5:$R$304,"&gt;="&amp;J117)&gt;0,"Decertified",IF(K117&lt;TODAY(),"Expired","Active"))))))</f>
        <v/>
      </c>
      <c r="V117" s="37"/>
      <c r="W117" s="12"/>
    </row>
    <row r="118" customFormat="false" ht="15" hidden="false" customHeight="false" outlineLevel="0" collapsed="false">
      <c r="A118" s="37"/>
      <c r="B118" s="38"/>
      <c r="C118" s="37"/>
      <c r="D118" s="31" t="str">
        <f aca="false">IF($C118="","",IFERROR(INDEX(Employee_Master!$B$5:$B$104,MATCH($C118,Employee_Master!$A$5:$A$104,0)),"ID not found"))</f>
        <v/>
      </c>
      <c r="E118" s="31" t="str">
        <f aca="false">IF($C118="","",IFERROR(INDEX(Employee_Master!$C$5:$C$104,MATCH($C118,Employee_Master!$A$5:$A$104,0)),"ID not found"))</f>
        <v/>
      </c>
      <c r="F118" s="37"/>
      <c r="G118" s="37"/>
      <c r="H118" s="37"/>
      <c r="I118" s="39"/>
      <c r="J118" s="38"/>
      <c r="K118" s="40" t="str">
        <f aca="false">IF(J118="","",EDATE(J118,Reference_Data!$AL$5))</f>
        <v/>
      </c>
      <c r="L118" s="37"/>
      <c r="M118" s="12"/>
      <c r="N118" s="41"/>
      <c r="O118" s="37"/>
      <c r="P118" s="31" t="str">
        <f aca="false">IF(O118="","",IFERROR(INDEX(Reference_Data!$J$5:$J$14,MATCH(O118,Reference_Data!$H$5:$H$14,0)),""))</f>
        <v/>
      </c>
      <c r="Q118" s="37"/>
      <c r="R118" s="38"/>
      <c r="S118" s="12"/>
      <c r="T118" s="40" t="str">
        <f aca="false">IF(R118="","",R118+Reference_Data!$AL$6)</f>
        <v/>
      </c>
      <c r="U118" s="31" t="str">
        <f aca="true">IF(C118="","",IF(Q118="Yes","Decertification Record",IF(J118="","—",IF(COUNTIFS($C$5:$C$304,C118,$F$5:$F$304,F118,$J$5:$J$304,"&gt;"&amp;J118)&gt;0,"Superseded",IF(COUNTIFS($C$5:$C$304,C118,$F$5:$F$304,F118,$R$5:$R$304,"&gt;="&amp;J118)&gt;0,"Decertified",IF(K118&lt;TODAY(),"Expired","Active"))))))</f>
        <v/>
      </c>
      <c r="V118" s="37"/>
      <c r="W118" s="12"/>
    </row>
    <row r="119" customFormat="false" ht="15" hidden="false" customHeight="false" outlineLevel="0" collapsed="false">
      <c r="A119" s="37"/>
      <c r="B119" s="38"/>
      <c r="C119" s="37"/>
      <c r="D119" s="31" t="str">
        <f aca="false">IF($C119="","",IFERROR(INDEX(Employee_Master!$B$5:$B$104,MATCH($C119,Employee_Master!$A$5:$A$104,0)),"ID not found"))</f>
        <v/>
      </c>
      <c r="E119" s="31" t="str">
        <f aca="false">IF($C119="","",IFERROR(INDEX(Employee_Master!$C$5:$C$104,MATCH($C119,Employee_Master!$A$5:$A$104,0)),"ID not found"))</f>
        <v/>
      </c>
      <c r="F119" s="37"/>
      <c r="G119" s="37"/>
      <c r="H119" s="37"/>
      <c r="I119" s="39"/>
      <c r="J119" s="38"/>
      <c r="K119" s="40" t="str">
        <f aca="false">IF(J119="","",EDATE(J119,Reference_Data!$AL$5))</f>
        <v/>
      </c>
      <c r="L119" s="37"/>
      <c r="M119" s="12"/>
      <c r="N119" s="41"/>
      <c r="O119" s="37"/>
      <c r="P119" s="31" t="str">
        <f aca="false">IF(O119="","",IFERROR(INDEX(Reference_Data!$J$5:$J$14,MATCH(O119,Reference_Data!$H$5:$H$14,0)),""))</f>
        <v/>
      </c>
      <c r="Q119" s="37"/>
      <c r="R119" s="38"/>
      <c r="S119" s="12"/>
      <c r="T119" s="40" t="str">
        <f aca="false">IF(R119="","",R119+Reference_Data!$AL$6)</f>
        <v/>
      </c>
      <c r="U119" s="31" t="str">
        <f aca="true">IF(C119="","",IF(Q119="Yes","Decertification Record",IF(J119="","—",IF(COUNTIFS($C$5:$C$304,C119,$F$5:$F$304,F119,$J$5:$J$304,"&gt;"&amp;J119)&gt;0,"Superseded",IF(COUNTIFS($C$5:$C$304,C119,$F$5:$F$304,F119,$R$5:$R$304,"&gt;="&amp;J119)&gt;0,"Decertified",IF(K119&lt;TODAY(),"Expired","Active"))))))</f>
        <v/>
      </c>
      <c r="V119" s="37"/>
      <c r="W119" s="12"/>
    </row>
    <row r="120" customFormat="false" ht="15" hidden="false" customHeight="false" outlineLevel="0" collapsed="false">
      <c r="A120" s="37"/>
      <c r="B120" s="38"/>
      <c r="C120" s="37"/>
      <c r="D120" s="31" t="str">
        <f aca="false">IF($C120="","",IFERROR(INDEX(Employee_Master!$B$5:$B$104,MATCH($C120,Employee_Master!$A$5:$A$104,0)),"ID not found"))</f>
        <v/>
      </c>
      <c r="E120" s="31" t="str">
        <f aca="false">IF($C120="","",IFERROR(INDEX(Employee_Master!$C$5:$C$104,MATCH($C120,Employee_Master!$A$5:$A$104,0)),"ID not found"))</f>
        <v/>
      </c>
      <c r="F120" s="37"/>
      <c r="G120" s="37"/>
      <c r="H120" s="37"/>
      <c r="I120" s="39"/>
      <c r="J120" s="38"/>
      <c r="K120" s="40" t="str">
        <f aca="false">IF(J120="","",EDATE(J120,Reference_Data!$AL$5))</f>
        <v/>
      </c>
      <c r="L120" s="37"/>
      <c r="M120" s="12"/>
      <c r="N120" s="41"/>
      <c r="O120" s="37"/>
      <c r="P120" s="31" t="str">
        <f aca="false">IF(O120="","",IFERROR(INDEX(Reference_Data!$J$5:$J$14,MATCH(O120,Reference_Data!$H$5:$H$14,0)),""))</f>
        <v/>
      </c>
      <c r="Q120" s="37"/>
      <c r="R120" s="38"/>
      <c r="S120" s="12"/>
      <c r="T120" s="40" t="str">
        <f aca="false">IF(R120="","",R120+Reference_Data!$AL$6)</f>
        <v/>
      </c>
      <c r="U120" s="31" t="str">
        <f aca="true">IF(C120="","",IF(Q120="Yes","Decertification Record",IF(J120="","—",IF(COUNTIFS($C$5:$C$304,C120,$F$5:$F$304,F120,$J$5:$J$304,"&gt;"&amp;J120)&gt;0,"Superseded",IF(COUNTIFS($C$5:$C$304,C120,$F$5:$F$304,F120,$R$5:$R$304,"&gt;="&amp;J120)&gt;0,"Decertified",IF(K120&lt;TODAY(),"Expired","Active"))))))</f>
        <v/>
      </c>
      <c r="V120" s="37"/>
      <c r="W120" s="12"/>
    </row>
    <row r="121" customFormat="false" ht="15" hidden="false" customHeight="false" outlineLevel="0" collapsed="false">
      <c r="A121" s="37"/>
      <c r="B121" s="38"/>
      <c r="C121" s="37"/>
      <c r="D121" s="31" t="str">
        <f aca="false">IF($C121="","",IFERROR(INDEX(Employee_Master!$B$5:$B$104,MATCH($C121,Employee_Master!$A$5:$A$104,0)),"ID not found"))</f>
        <v/>
      </c>
      <c r="E121" s="31" t="str">
        <f aca="false">IF($C121="","",IFERROR(INDEX(Employee_Master!$C$5:$C$104,MATCH($C121,Employee_Master!$A$5:$A$104,0)),"ID not found"))</f>
        <v/>
      </c>
      <c r="F121" s="37"/>
      <c r="G121" s="37"/>
      <c r="H121" s="37"/>
      <c r="I121" s="39"/>
      <c r="J121" s="38"/>
      <c r="K121" s="40" t="str">
        <f aca="false">IF(J121="","",EDATE(J121,Reference_Data!$AL$5))</f>
        <v/>
      </c>
      <c r="L121" s="37"/>
      <c r="M121" s="12"/>
      <c r="N121" s="41"/>
      <c r="O121" s="37"/>
      <c r="P121" s="31" t="str">
        <f aca="false">IF(O121="","",IFERROR(INDEX(Reference_Data!$J$5:$J$14,MATCH(O121,Reference_Data!$H$5:$H$14,0)),""))</f>
        <v/>
      </c>
      <c r="Q121" s="37"/>
      <c r="R121" s="38"/>
      <c r="S121" s="12"/>
      <c r="T121" s="40" t="str">
        <f aca="false">IF(R121="","",R121+Reference_Data!$AL$6)</f>
        <v/>
      </c>
      <c r="U121" s="31" t="str">
        <f aca="true">IF(C121="","",IF(Q121="Yes","Decertification Record",IF(J121="","—",IF(COUNTIFS($C$5:$C$304,C121,$F$5:$F$304,F121,$J$5:$J$304,"&gt;"&amp;J121)&gt;0,"Superseded",IF(COUNTIFS($C$5:$C$304,C121,$F$5:$F$304,F121,$R$5:$R$304,"&gt;="&amp;J121)&gt;0,"Decertified",IF(K121&lt;TODAY(),"Expired","Active"))))))</f>
        <v/>
      </c>
      <c r="V121" s="37"/>
      <c r="W121" s="12"/>
    </row>
    <row r="122" customFormat="false" ht="15" hidden="false" customHeight="false" outlineLevel="0" collapsed="false">
      <c r="A122" s="37"/>
      <c r="B122" s="38"/>
      <c r="C122" s="37"/>
      <c r="D122" s="31" t="str">
        <f aca="false">IF($C122="","",IFERROR(INDEX(Employee_Master!$B$5:$B$104,MATCH($C122,Employee_Master!$A$5:$A$104,0)),"ID not found"))</f>
        <v/>
      </c>
      <c r="E122" s="31" t="str">
        <f aca="false">IF($C122="","",IFERROR(INDEX(Employee_Master!$C$5:$C$104,MATCH($C122,Employee_Master!$A$5:$A$104,0)),"ID not found"))</f>
        <v/>
      </c>
      <c r="F122" s="37"/>
      <c r="G122" s="37"/>
      <c r="H122" s="37"/>
      <c r="I122" s="39"/>
      <c r="J122" s="38"/>
      <c r="K122" s="40" t="str">
        <f aca="false">IF(J122="","",EDATE(J122,Reference_Data!$AL$5))</f>
        <v/>
      </c>
      <c r="L122" s="37"/>
      <c r="M122" s="12"/>
      <c r="N122" s="41"/>
      <c r="O122" s="37"/>
      <c r="P122" s="31" t="str">
        <f aca="false">IF(O122="","",IFERROR(INDEX(Reference_Data!$J$5:$J$14,MATCH(O122,Reference_Data!$H$5:$H$14,0)),""))</f>
        <v/>
      </c>
      <c r="Q122" s="37"/>
      <c r="R122" s="38"/>
      <c r="S122" s="12"/>
      <c r="T122" s="40" t="str">
        <f aca="false">IF(R122="","",R122+Reference_Data!$AL$6)</f>
        <v/>
      </c>
      <c r="U122" s="31" t="str">
        <f aca="true">IF(C122="","",IF(Q122="Yes","Decertification Record",IF(J122="","—",IF(COUNTIFS($C$5:$C$304,C122,$F$5:$F$304,F122,$J$5:$J$304,"&gt;"&amp;J122)&gt;0,"Superseded",IF(COUNTIFS($C$5:$C$304,C122,$F$5:$F$304,F122,$R$5:$R$304,"&gt;="&amp;J122)&gt;0,"Decertified",IF(K122&lt;TODAY(),"Expired","Active"))))))</f>
        <v/>
      </c>
      <c r="V122" s="37"/>
      <c r="W122" s="12"/>
    </row>
    <row r="123" customFormat="false" ht="15" hidden="false" customHeight="false" outlineLevel="0" collapsed="false">
      <c r="A123" s="37"/>
      <c r="B123" s="38"/>
      <c r="C123" s="37"/>
      <c r="D123" s="31" t="str">
        <f aca="false">IF($C123="","",IFERROR(INDEX(Employee_Master!$B$5:$B$104,MATCH($C123,Employee_Master!$A$5:$A$104,0)),"ID not found"))</f>
        <v/>
      </c>
      <c r="E123" s="31" t="str">
        <f aca="false">IF($C123="","",IFERROR(INDEX(Employee_Master!$C$5:$C$104,MATCH($C123,Employee_Master!$A$5:$A$104,0)),"ID not found"))</f>
        <v/>
      </c>
      <c r="F123" s="37"/>
      <c r="G123" s="37"/>
      <c r="H123" s="37"/>
      <c r="I123" s="39"/>
      <c r="J123" s="38"/>
      <c r="K123" s="40" t="str">
        <f aca="false">IF(J123="","",EDATE(J123,Reference_Data!$AL$5))</f>
        <v/>
      </c>
      <c r="L123" s="37"/>
      <c r="M123" s="12"/>
      <c r="N123" s="41"/>
      <c r="O123" s="37"/>
      <c r="P123" s="31" t="str">
        <f aca="false">IF(O123="","",IFERROR(INDEX(Reference_Data!$J$5:$J$14,MATCH(O123,Reference_Data!$H$5:$H$14,0)),""))</f>
        <v/>
      </c>
      <c r="Q123" s="37"/>
      <c r="R123" s="38"/>
      <c r="S123" s="12"/>
      <c r="T123" s="40" t="str">
        <f aca="false">IF(R123="","",R123+Reference_Data!$AL$6)</f>
        <v/>
      </c>
      <c r="U123" s="31" t="str">
        <f aca="true">IF(C123="","",IF(Q123="Yes","Decertification Record",IF(J123="","—",IF(COUNTIFS($C$5:$C$304,C123,$F$5:$F$304,F123,$J$5:$J$304,"&gt;"&amp;J123)&gt;0,"Superseded",IF(COUNTIFS($C$5:$C$304,C123,$F$5:$F$304,F123,$R$5:$R$304,"&gt;="&amp;J123)&gt;0,"Decertified",IF(K123&lt;TODAY(),"Expired","Active"))))))</f>
        <v/>
      </c>
      <c r="V123" s="37"/>
      <c r="W123" s="12"/>
    </row>
    <row r="124" customFormat="false" ht="15" hidden="false" customHeight="false" outlineLevel="0" collapsed="false">
      <c r="A124" s="37"/>
      <c r="B124" s="38"/>
      <c r="C124" s="37"/>
      <c r="D124" s="31" t="str">
        <f aca="false">IF($C124="","",IFERROR(INDEX(Employee_Master!$B$5:$B$104,MATCH($C124,Employee_Master!$A$5:$A$104,0)),"ID not found"))</f>
        <v/>
      </c>
      <c r="E124" s="31" t="str">
        <f aca="false">IF($C124="","",IFERROR(INDEX(Employee_Master!$C$5:$C$104,MATCH($C124,Employee_Master!$A$5:$A$104,0)),"ID not found"))</f>
        <v/>
      </c>
      <c r="F124" s="37"/>
      <c r="G124" s="37"/>
      <c r="H124" s="37"/>
      <c r="I124" s="39"/>
      <c r="J124" s="38"/>
      <c r="K124" s="40" t="str">
        <f aca="false">IF(J124="","",EDATE(J124,Reference_Data!$AL$5))</f>
        <v/>
      </c>
      <c r="L124" s="37"/>
      <c r="M124" s="12"/>
      <c r="N124" s="41"/>
      <c r="O124" s="37"/>
      <c r="P124" s="31" t="str">
        <f aca="false">IF(O124="","",IFERROR(INDEX(Reference_Data!$J$5:$J$14,MATCH(O124,Reference_Data!$H$5:$H$14,0)),""))</f>
        <v/>
      </c>
      <c r="Q124" s="37"/>
      <c r="R124" s="38"/>
      <c r="S124" s="12"/>
      <c r="T124" s="40" t="str">
        <f aca="false">IF(R124="","",R124+Reference_Data!$AL$6)</f>
        <v/>
      </c>
      <c r="U124" s="31" t="str">
        <f aca="true">IF(C124="","",IF(Q124="Yes","Decertification Record",IF(J124="","—",IF(COUNTIFS($C$5:$C$304,C124,$F$5:$F$304,F124,$J$5:$J$304,"&gt;"&amp;J124)&gt;0,"Superseded",IF(COUNTIFS($C$5:$C$304,C124,$F$5:$F$304,F124,$R$5:$R$304,"&gt;="&amp;J124)&gt;0,"Decertified",IF(K124&lt;TODAY(),"Expired","Active"))))))</f>
        <v/>
      </c>
      <c r="V124" s="37"/>
      <c r="W124" s="12"/>
    </row>
    <row r="125" customFormat="false" ht="15" hidden="false" customHeight="false" outlineLevel="0" collapsed="false">
      <c r="A125" s="37"/>
      <c r="B125" s="38"/>
      <c r="C125" s="37"/>
      <c r="D125" s="31" t="str">
        <f aca="false">IF($C125="","",IFERROR(INDEX(Employee_Master!$B$5:$B$104,MATCH($C125,Employee_Master!$A$5:$A$104,0)),"ID not found"))</f>
        <v/>
      </c>
      <c r="E125" s="31" t="str">
        <f aca="false">IF($C125="","",IFERROR(INDEX(Employee_Master!$C$5:$C$104,MATCH($C125,Employee_Master!$A$5:$A$104,0)),"ID not found"))</f>
        <v/>
      </c>
      <c r="F125" s="37"/>
      <c r="G125" s="37"/>
      <c r="H125" s="37"/>
      <c r="I125" s="39"/>
      <c r="J125" s="38"/>
      <c r="K125" s="40" t="str">
        <f aca="false">IF(J125="","",EDATE(J125,Reference_Data!$AL$5))</f>
        <v/>
      </c>
      <c r="L125" s="37"/>
      <c r="M125" s="12"/>
      <c r="N125" s="41"/>
      <c r="O125" s="37"/>
      <c r="P125" s="31" t="str">
        <f aca="false">IF(O125="","",IFERROR(INDEX(Reference_Data!$J$5:$J$14,MATCH(O125,Reference_Data!$H$5:$H$14,0)),""))</f>
        <v/>
      </c>
      <c r="Q125" s="37"/>
      <c r="R125" s="38"/>
      <c r="S125" s="12"/>
      <c r="T125" s="40" t="str">
        <f aca="false">IF(R125="","",R125+Reference_Data!$AL$6)</f>
        <v/>
      </c>
      <c r="U125" s="31" t="str">
        <f aca="true">IF(C125="","",IF(Q125="Yes","Decertification Record",IF(J125="","—",IF(COUNTIFS($C$5:$C$304,C125,$F$5:$F$304,F125,$J$5:$J$304,"&gt;"&amp;J125)&gt;0,"Superseded",IF(COUNTIFS($C$5:$C$304,C125,$F$5:$F$304,F125,$R$5:$R$304,"&gt;="&amp;J125)&gt;0,"Decertified",IF(K125&lt;TODAY(),"Expired","Active"))))))</f>
        <v/>
      </c>
      <c r="V125" s="37"/>
      <c r="W125" s="12"/>
    </row>
    <row r="126" customFormat="false" ht="15" hidden="false" customHeight="false" outlineLevel="0" collapsed="false">
      <c r="A126" s="37"/>
      <c r="B126" s="38"/>
      <c r="C126" s="37"/>
      <c r="D126" s="31" t="str">
        <f aca="false">IF($C126="","",IFERROR(INDEX(Employee_Master!$B$5:$B$104,MATCH($C126,Employee_Master!$A$5:$A$104,0)),"ID not found"))</f>
        <v/>
      </c>
      <c r="E126" s="31" t="str">
        <f aca="false">IF($C126="","",IFERROR(INDEX(Employee_Master!$C$5:$C$104,MATCH($C126,Employee_Master!$A$5:$A$104,0)),"ID not found"))</f>
        <v/>
      </c>
      <c r="F126" s="37"/>
      <c r="G126" s="37"/>
      <c r="H126" s="37"/>
      <c r="I126" s="39"/>
      <c r="J126" s="38"/>
      <c r="K126" s="40" t="str">
        <f aca="false">IF(J126="","",EDATE(J126,Reference_Data!$AL$5))</f>
        <v/>
      </c>
      <c r="L126" s="37"/>
      <c r="M126" s="12"/>
      <c r="N126" s="41"/>
      <c r="O126" s="37"/>
      <c r="P126" s="31" t="str">
        <f aca="false">IF(O126="","",IFERROR(INDEX(Reference_Data!$J$5:$J$14,MATCH(O126,Reference_Data!$H$5:$H$14,0)),""))</f>
        <v/>
      </c>
      <c r="Q126" s="37"/>
      <c r="R126" s="38"/>
      <c r="S126" s="12"/>
      <c r="T126" s="40" t="str">
        <f aca="false">IF(R126="","",R126+Reference_Data!$AL$6)</f>
        <v/>
      </c>
      <c r="U126" s="31" t="str">
        <f aca="true">IF(C126="","",IF(Q126="Yes","Decertification Record",IF(J126="","—",IF(COUNTIFS($C$5:$C$304,C126,$F$5:$F$304,F126,$J$5:$J$304,"&gt;"&amp;J126)&gt;0,"Superseded",IF(COUNTIFS($C$5:$C$304,C126,$F$5:$F$304,F126,$R$5:$R$304,"&gt;="&amp;J126)&gt;0,"Decertified",IF(K126&lt;TODAY(),"Expired","Active"))))))</f>
        <v/>
      </c>
      <c r="V126" s="37"/>
      <c r="W126" s="12"/>
    </row>
    <row r="127" customFormat="false" ht="15" hidden="false" customHeight="false" outlineLevel="0" collapsed="false">
      <c r="A127" s="37"/>
      <c r="B127" s="38"/>
      <c r="C127" s="37"/>
      <c r="D127" s="31" t="str">
        <f aca="false">IF($C127="","",IFERROR(INDEX(Employee_Master!$B$5:$B$104,MATCH($C127,Employee_Master!$A$5:$A$104,0)),"ID not found"))</f>
        <v/>
      </c>
      <c r="E127" s="31" t="str">
        <f aca="false">IF($C127="","",IFERROR(INDEX(Employee_Master!$C$5:$C$104,MATCH($C127,Employee_Master!$A$5:$A$104,0)),"ID not found"))</f>
        <v/>
      </c>
      <c r="F127" s="37"/>
      <c r="G127" s="37"/>
      <c r="H127" s="37"/>
      <c r="I127" s="39"/>
      <c r="J127" s="38"/>
      <c r="K127" s="40" t="str">
        <f aca="false">IF(J127="","",EDATE(J127,Reference_Data!$AL$5))</f>
        <v/>
      </c>
      <c r="L127" s="37"/>
      <c r="M127" s="12"/>
      <c r="N127" s="41"/>
      <c r="O127" s="37"/>
      <c r="P127" s="31" t="str">
        <f aca="false">IF(O127="","",IFERROR(INDEX(Reference_Data!$J$5:$J$14,MATCH(O127,Reference_Data!$H$5:$H$14,0)),""))</f>
        <v/>
      </c>
      <c r="Q127" s="37"/>
      <c r="R127" s="38"/>
      <c r="S127" s="12"/>
      <c r="T127" s="40" t="str">
        <f aca="false">IF(R127="","",R127+Reference_Data!$AL$6)</f>
        <v/>
      </c>
      <c r="U127" s="31" t="str">
        <f aca="true">IF(C127="","",IF(Q127="Yes","Decertification Record",IF(J127="","—",IF(COUNTIFS($C$5:$C$304,C127,$F$5:$F$304,F127,$J$5:$J$304,"&gt;"&amp;J127)&gt;0,"Superseded",IF(COUNTIFS($C$5:$C$304,C127,$F$5:$F$304,F127,$R$5:$R$304,"&gt;="&amp;J127)&gt;0,"Decertified",IF(K127&lt;TODAY(),"Expired","Active"))))))</f>
        <v/>
      </c>
      <c r="V127" s="37"/>
      <c r="W127" s="12"/>
    </row>
    <row r="128" customFormat="false" ht="15" hidden="false" customHeight="false" outlineLevel="0" collapsed="false">
      <c r="A128" s="37"/>
      <c r="B128" s="38"/>
      <c r="C128" s="37"/>
      <c r="D128" s="31" t="str">
        <f aca="false">IF($C128="","",IFERROR(INDEX(Employee_Master!$B$5:$B$104,MATCH($C128,Employee_Master!$A$5:$A$104,0)),"ID not found"))</f>
        <v/>
      </c>
      <c r="E128" s="31" t="str">
        <f aca="false">IF($C128="","",IFERROR(INDEX(Employee_Master!$C$5:$C$104,MATCH($C128,Employee_Master!$A$5:$A$104,0)),"ID not found"))</f>
        <v/>
      </c>
      <c r="F128" s="37"/>
      <c r="G128" s="37"/>
      <c r="H128" s="37"/>
      <c r="I128" s="39"/>
      <c r="J128" s="38"/>
      <c r="K128" s="40" t="str">
        <f aca="false">IF(J128="","",EDATE(J128,Reference_Data!$AL$5))</f>
        <v/>
      </c>
      <c r="L128" s="37"/>
      <c r="M128" s="12"/>
      <c r="N128" s="41"/>
      <c r="O128" s="37"/>
      <c r="P128" s="31" t="str">
        <f aca="false">IF(O128="","",IFERROR(INDEX(Reference_Data!$J$5:$J$14,MATCH(O128,Reference_Data!$H$5:$H$14,0)),""))</f>
        <v/>
      </c>
      <c r="Q128" s="37"/>
      <c r="R128" s="38"/>
      <c r="S128" s="12"/>
      <c r="T128" s="40" t="str">
        <f aca="false">IF(R128="","",R128+Reference_Data!$AL$6)</f>
        <v/>
      </c>
      <c r="U128" s="31" t="str">
        <f aca="true">IF(C128="","",IF(Q128="Yes","Decertification Record",IF(J128="","—",IF(COUNTIFS($C$5:$C$304,C128,$F$5:$F$304,F128,$J$5:$J$304,"&gt;"&amp;J128)&gt;0,"Superseded",IF(COUNTIFS($C$5:$C$304,C128,$F$5:$F$304,F128,$R$5:$R$304,"&gt;="&amp;J128)&gt;0,"Decertified",IF(K128&lt;TODAY(),"Expired","Active"))))))</f>
        <v/>
      </c>
      <c r="V128" s="37"/>
      <c r="W128" s="12"/>
    </row>
    <row r="129" customFormat="false" ht="15" hidden="false" customHeight="false" outlineLevel="0" collapsed="false">
      <c r="A129" s="37"/>
      <c r="B129" s="38"/>
      <c r="C129" s="37"/>
      <c r="D129" s="31" t="str">
        <f aca="false">IF($C129="","",IFERROR(INDEX(Employee_Master!$B$5:$B$104,MATCH($C129,Employee_Master!$A$5:$A$104,0)),"ID not found"))</f>
        <v/>
      </c>
      <c r="E129" s="31" t="str">
        <f aca="false">IF($C129="","",IFERROR(INDEX(Employee_Master!$C$5:$C$104,MATCH($C129,Employee_Master!$A$5:$A$104,0)),"ID not found"))</f>
        <v/>
      </c>
      <c r="F129" s="37"/>
      <c r="G129" s="37"/>
      <c r="H129" s="37"/>
      <c r="I129" s="39"/>
      <c r="J129" s="38"/>
      <c r="K129" s="40" t="str">
        <f aca="false">IF(J129="","",EDATE(J129,Reference_Data!$AL$5))</f>
        <v/>
      </c>
      <c r="L129" s="37"/>
      <c r="M129" s="12"/>
      <c r="N129" s="41"/>
      <c r="O129" s="37"/>
      <c r="P129" s="31" t="str">
        <f aca="false">IF(O129="","",IFERROR(INDEX(Reference_Data!$J$5:$J$14,MATCH(O129,Reference_Data!$H$5:$H$14,0)),""))</f>
        <v/>
      </c>
      <c r="Q129" s="37"/>
      <c r="R129" s="38"/>
      <c r="S129" s="12"/>
      <c r="T129" s="40" t="str">
        <f aca="false">IF(R129="","",R129+Reference_Data!$AL$6)</f>
        <v/>
      </c>
      <c r="U129" s="31" t="str">
        <f aca="true">IF(C129="","",IF(Q129="Yes","Decertification Record",IF(J129="","—",IF(COUNTIFS($C$5:$C$304,C129,$F$5:$F$304,F129,$J$5:$J$304,"&gt;"&amp;J129)&gt;0,"Superseded",IF(COUNTIFS($C$5:$C$304,C129,$F$5:$F$304,F129,$R$5:$R$304,"&gt;="&amp;J129)&gt;0,"Decertified",IF(K129&lt;TODAY(),"Expired","Active"))))))</f>
        <v/>
      </c>
      <c r="V129" s="37"/>
      <c r="W129" s="12"/>
    </row>
    <row r="130" customFormat="false" ht="15" hidden="false" customHeight="false" outlineLevel="0" collapsed="false">
      <c r="A130" s="37"/>
      <c r="B130" s="38"/>
      <c r="C130" s="37"/>
      <c r="D130" s="31" t="str">
        <f aca="false">IF($C130="","",IFERROR(INDEX(Employee_Master!$B$5:$B$104,MATCH($C130,Employee_Master!$A$5:$A$104,0)),"ID not found"))</f>
        <v/>
      </c>
      <c r="E130" s="31" t="str">
        <f aca="false">IF($C130="","",IFERROR(INDEX(Employee_Master!$C$5:$C$104,MATCH($C130,Employee_Master!$A$5:$A$104,0)),"ID not found"))</f>
        <v/>
      </c>
      <c r="F130" s="37"/>
      <c r="G130" s="37"/>
      <c r="H130" s="37"/>
      <c r="I130" s="39"/>
      <c r="J130" s="38"/>
      <c r="K130" s="40" t="str">
        <f aca="false">IF(J130="","",EDATE(J130,Reference_Data!$AL$5))</f>
        <v/>
      </c>
      <c r="L130" s="37"/>
      <c r="M130" s="12"/>
      <c r="N130" s="41"/>
      <c r="O130" s="37"/>
      <c r="P130" s="31" t="str">
        <f aca="false">IF(O130="","",IFERROR(INDEX(Reference_Data!$J$5:$J$14,MATCH(O130,Reference_Data!$H$5:$H$14,0)),""))</f>
        <v/>
      </c>
      <c r="Q130" s="37"/>
      <c r="R130" s="38"/>
      <c r="S130" s="12"/>
      <c r="T130" s="40" t="str">
        <f aca="false">IF(R130="","",R130+Reference_Data!$AL$6)</f>
        <v/>
      </c>
      <c r="U130" s="31" t="str">
        <f aca="true">IF(C130="","",IF(Q130="Yes","Decertification Record",IF(J130="","—",IF(COUNTIFS($C$5:$C$304,C130,$F$5:$F$304,F130,$J$5:$J$304,"&gt;"&amp;J130)&gt;0,"Superseded",IF(COUNTIFS($C$5:$C$304,C130,$F$5:$F$304,F130,$R$5:$R$304,"&gt;="&amp;J130)&gt;0,"Decertified",IF(K130&lt;TODAY(),"Expired","Active"))))))</f>
        <v/>
      </c>
      <c r="V130" s="37"/>
      <c r="W130" s="12"/>
    </row>
    <row r="131" customFormat="false" ht="15" hidden="false" customHeight="false" outlineLevel="0" collapsed="false">
      <c r="A131" s="37"/>
      <c r="B131" s="38"/>
      <c r="C131" s="37"/>
      <c r="D131" s="31" t="str">
        <f aca="false">IF($C131="","",IFERROR(INDEX(Employee_Master!$B$5:$B$104,MATCH($C131,Employee_Master!$A$5:$A$104,0)),"ID not found"))</f>
        <v/>
      </c>
      <c r="E131" s="31" t="str">
        <f aca="false">IF($C131="","",IFERROR(INDEX(Employee_Master!$C$5:$C$104,MATCH($C131,Employee_Master!$A$5:$A$104,0)),"ID not found"))</f>
        <v/>
      </c>
      <c r="F131" s="37"/>
      <c r="G131" s="37"/>
      <c r="H131" s="37"/>
      <c r="I131" s="39"/>
      <c r="J131" s="38"/>
      <c r="K131" s="40" t="str">
        <f aca="false">IF(J131="","",EDATE(J131,Reference_Data!$AL$5))</f>
        <v/>
      </c>
      <c r="L131" s="37"/>
      <c r="M131" s="12"/>
      <c r="N131" s="41"/>
      <c r="O131" s="37"/>
      <c r="P131" s="31" t="str">
        <f aca="false">IF(O131="","",IFERROR(INDEX(Reference_Data!$J$5:$J$14,MATCH(O131,Reference_Data!$H$5:$H$14,0)),""))</f>
        <v/>
      </c>
      <c r="Q131" s="37"/>
      <c r="R131" s="38"/>
      <c r="S131" s="12"/>
      <c r="T131" s="40" t="str">
        <f aca="false">IF(R131="","",R131+Reference_Data!$AL$6)</f>
        <v/>
      </c>
      <c r="U131" s="31" t="str">
        <f aca="true">IF(C131="","",IF(Q131="Yes","Decertification Record",IF(J131="","—",IF(COUNTIFS($C$5:$C$304,C131,$F$5:$F$304,F131,$J$5:$J$304,"&gt;"&amp;J131)&gt;0,"Superseded",IF(COUNTIFS($C$5:$C$304,C131,$F$5:$F$304,F131,$R$5:$R$304,"&gt;="&amp;J131)&gt;0,"Decertified",IF(K131&lt;TODAY(),"Expired","Active"))))))</f>
        <v/>
      </c>
      <c r="V131" s="37"/>
      <c r="W131" s="12"/>
    </row>
    <row r="132" customFormat="false" ht="15" hidden="false" customHeight="false" outlineLevel="0" collapsed="false">
      <c r="A132" s="37"/>
      <c r="B132" s="38"/>
      <c r="C132" s="37"/>
      <c r="D132" s="31" t="str">
        <f aca="false">IF($C132="","",IFERROR(INDEX(Employee_Master!$B$5:$B$104,MATCH($C132,Employee_Master!$A$5:$A$104,0)),"ID not found"))</f>
        <v/>
      </c>
      <c r="E132" s="31" t="str">
        <f aca="false">IF($C132="","",IFERROR(INDEX(Employee_Master!$C$5:$C$104,MATCH($C132,Employee_Master!$A$5:$A$104,0)),"ID not found"))</f>
        <v/>
      </c>
      <c r="F132" s="37"/>
      <c r="G132" s="37"/>
      <c r="H132" s="37"/>
      <c r="I132" s="39"/>
      <c r="J132" s="38"/>
      <c r="K132" s="40" t="str">
        <f aca="false">IF(J132="","",EDATE(J132,Reference_Data!$AL$5))</f>
        <v/>
      </c>
      <c r="L132" s="37"/>
      <c r="M132" s="12"/>
      <c r="N132" s="41"/>
      <c r="O132" s="37"/>
      <c r="P132" s="31" t="str">
        <f aca="false">IF(O132="","",IFERROR(INDEX(Reference_Data!$J$5:$J$14,MATCH(O132,Reference_Data!$H$5:$H$14,0)),""))</f>
        <v/>
      </c>
      <c r="Q132" s="37"/>
      <c r="R132" s="38"/>
      <c r="S132" s="12"/>
      <c r="T132" s="40" t="str">
        <f aca="false">IF(R132="","",R132+Reference_Data!$AL$6)</f>
        <v/>
      </c>
      <c r="U132" s="31" t="str">
        <f aca="true">IF(C132="","",IF(Q132="Yes","Decertification Record",IF(J132="","—",IF(COUNTIFS($C$5:$C$304,C132,$F$5:$F$304,F132,$J$5:$J$304,"&gt;"&amp;J132)&gt;0,"Superseded",IF(COUNTIFS($C$5:$C$304,C132,$F$5:$F$304,F132,$R$5:$R$304,"&gt;="&amp;J132)&gt;0,"Decertified",IF(K132&lt;TODAY(),"Expired","Active"))))))</f>
        <v/>
      </c>
      <c r="V132" s="37"/>
      <c r="W132" s="12"/>
    </row>
    <row r="133" customFormat="false" ht="15" hidden="false" customHeight="false" outlineLevel="0" collapsed="false">
      <c r="A133" s="37"/>
      <c r="B133" s="38"/>
      <c r="C133" s="37"/>
      <c r="D133" s="31" t="str">
        <f aca="false">IF($C133="","",IFERROR(INDEX(Employee_Master!$B$5:$B$104,MATCH($C133,Employee_Master!$A$5:$A$104,0)),"ID not found"))</f>
        <v/>
      </c>
      <c r="E133" s="31" t="str">
        <f aca="false">IF($C133="","",IFERROR(INDEX(Employee_Master!$C$5:$C$104,MATCH($C133,Employee_Master!$A$5:$A$104,0)),"ID not found"))</f>
        <v/>
      </c>
      <c r="F133" s="37"/>
      <c r="G133" s="37"/>
      <c r="H133" s="37"/>
      <c r="I133" s="39"/>
      <c r="J133" s="38"/>
      <c r="K133" s="40" t="str">
        <f aca="false">IF(J133="","",EDATE(J133,Reference_Data!$AL$5))</f>
        <v/>
      </c>
      <c r="L133" s="37"/>
      <c r="M133" s="12"/>
      <c r="N133" s="41"/>
      <c r="O133" s="37"/>
      <c r="P133" s="31" t="str">
        <f aca="false">IF(O133="","",IFERROR(INDEX(Reference_Data!$J$5:$J$14,MATCH(O133,Reference_Data!$H$5:$H$14,0)),""))</f>
        <v/>
      </c>
      <c r="Q133" s="37"/>
      <c r="R133" s="38"/>
      <c r="S133" s="12"/>
      <c r="T133" s="40" t="str">
        <f aca="false">IF(R133="","",R133+Reference_Data!$AL$6)</f>
        <v/>
      </c>
      <c r="U133" s="31" t="str">
        <f aca="true">IF(C133="","",IF(Q133="Yes","Decertification Record",IF(J133="","—",IF(COUNTIFS($C$5:$C$304,C133,$F$5:$F$304,F133,$J$5:$J$304,"&gt;"&amp;J133)&gt;0,"Superseded",IF(COUNTIFS($C$5:$C$304,C133,$F$5:$F$304,F133,$R$5:$R$304,"&gt;="&amp;J133)&gt;0,"Decertified",IF(K133&lt;TODAY(),"Expired","Active"))))))</f>
        <v/>
      </c>
      <c r="V133" s="37"/>
      <c r="W133" s="12"/>
    </row>
    <row r="134" customFormat="false" ht="15" hidden="false" customHeight="false" outlineLevel="0" collapsed="false">
      <c r="A134" s="37"/>
      <c r="B134" s="38"/>
      <c r="C134" s="37"/>
      <c r="D134" s="31" t="str">
        <f aca="false">IF($C134="","",IFERROR(INDEX(Employee_Master!$B$5:$B$104,MATCH($C134,Employee_Master!$A$5:$A$104,0)),"ID not found"))</f>
        <v/>
      </c>
      <c r="E134" s="31" t="str">
        <f aca="false">IF($C134="","",IFERROR(INDEX(Employee_Master!$C$5:$C$104,MATCH($C134,Employee_Master!$A$5:$A$104,0)),"ID not found"))</f>
        <v/>
      </c>
      <c r="F134" s="37"/>
      <c r="G134" s="37"/>
      <c r="H134" s="37"/>
      <c r="I134" s="39"/>
      <c r="J134" s="38"/>
      <c r="K134" s="40" t="str">
        <f aca="false">IF(J134="","",EDATE(J134,Reference_Data!$AL$5))</f>
        <v/>
      </c>
      <c r="L134" s="37"/>
      <c r="M134" s="12"/>
      <c r="N134" s="41"/>
      <c r="O134" s="37"/>
      <c r="P134" s="31" t="str">
        <f aca="false">IF(O134="","",IFERROR(INDEX(Reference_Data!$J$5:$J$14,MATCH(O134,Reference_Data!$H$5:$H$14,0)),""))</f>
        <v/>
      </c>
      <c r="Q134" s="37"/>
      <c r="R134" s="38"/>
      <c r="S134" s="12"/>
      <c r="T134" s="40" t="str">
        <f aca="false">IF(R134="","",R134+Reference_Data!$AL$6)</f>
        <v/>
      </c>
      <c r="U134" s="31" t="str">
        <f aca="true">IF(C134="","",IF(Q134="Yes","Decertification Record",IF(J134="","—",IF(COUNTIFS($C$5:$C$304,C134,$F$5:$F$304,F134,$J$5:$J$304,"&gt;"&amp;J134)&gt;0,"Superseded",IF(COUNTIFS($C$5:$C$304,C134,$F$5:$F$304,F134,$R$5:$R$304,"&gt;="&amp;J134)&gt;0,"Decertified",IF(K134&lt;TODAY(),"Expired","Active"))))))</f>
        <v/>
      </c>
      <c r="V134" s="37"/>
      <c r="W134" s="12"/>
    </row>
    <row r="135" customFormat="false" ht="15" hidden="false" customHeight="false" outlineLevel="0" collapsed="false">
      <c r="A135" s="37"/>
      <c r="B135" s="38"/>
      <c r="C135" s="37"/>
      <c r="D135" s="31" t="str">
        <f aca="false">IF($C135="","",IFERROR(INDEX(Employee_Master!$B$5:$B$104,MATCH($C135,Employee_Master!$A$5:$A$104,0)),"ID not found"))</f>
        <v/>
      </c>
      <c r="E135" s="31" t="str">
        <f aca="false">IF($C135="","",IFERROR(INDEX(Employee_Master!$C$5:$C$104,MATCH($C135,Employee_Master!$A$5:$A$104,0)),"ID not found"))</f>
        <v/>
      </c>
      <c r="F135" s="37"/>
      <c r="G135" s="37"/>
      <c r="H135" s="37"/>
      <c r="I135" s="39"/>
      <c r="J135" s="38"/>
      <c r="K135" s="40" t="str">
        <f aca="false">IF(J135="","",EDATE(J135,Reference_Data!$AL$5))</f>
        <v/>
      </c>
      <c r="L135" s="37"/>
      <c r="M135" s="12"/>
      <c r="N135" s="41"/>
      <c r="O135" s="37"/>
      <c r="P135" s="31" t="str">
        <f aca="false">IF(O135="","",IFERROR(INDEX(Reference_Data!$J$5:$J$14,MATCH(O135,Reference_Data!$H$5:$H$14,0)),""))</f>
        <v/>
      </c>
      <c r="Q135" s="37"/>
      <c r="R135" s="38"/>
      <c r="S135" s="12"/>
      <c r="T135" s="40" t="str">
        <f aca="false">IF(R135="","",R135+Reference_Data!$AL$6)</f>
        <v/>
      </c>
      <c r="U135" s="31" t="str">
        <f aca="true">IF(C135="","",IF(Q135="Yes","Decertification Record",IF(J135="","—",IF(COUNTIFS($C$5:$C$304,C135,$F$5:$F$304,F135,$J$5:$J$304,"&gt;"&amp;J135)&gt;0,"Superseded",IF(COUNTIFS($C$5:$C$304,C135,$F$5:$F$304,F135,$R$5:$R$304,"&gt;="&amp;J135)&gt;0,"Decertified",IF(K135&lt;TODAY(),"Expired","Active"))))))</f>
        <v/>
      </c>
      <c r="V135" s="37"/>
      <c r="W135" s="12"/>
    </row>
    <row r="136" customFormat="false" ht="15" hidden="false" customHeight="false" outlineLevel="0" collapsed="false">
      <c r="A136" s="37"/>
      <c r="B136" s="38"/>
      <c r="C136" s="37"/>
      <c r="D136" s="31" t="str">
        <f aca="false">IF($C136="","",IFERROR(INDEX(Employee_Master!$B$5:$B$104,MATCH($C136,Employee_Master!$A$5:$A$104,0)),"ID not found"))</f>
        <v/>
      </c>
      <c r="E136" s="31" t="str">
        <f aca="false">IF($C136="","",IFERROR(INDEX(Employee_Master!$C$5:$C$104,MATCH($C136,Employee_Master!$A$5:$A$104,0)),"ID not found"))</f>
        <v/>
      </c>
      <c r="F136" s="37"/>
      <c r="G136" s="37"/>
      <c r="H136" s="37"/>
      <c r="I136" s="39"/>
      <c r="J136" s="38"/>
      <c r="K136" s="40" t="str">
        <f aca="false">IF(J136="","",EDATE(J136,Reference_Data!$AL$5))</f>
        <v/>
      </c>
      <c r="L136" s="37"/>
      <c r="M136" s="12"/>
      <c r="N136" s="41"/>
      <c r="O136" s="37"/>
      <c r="P136" s="31" t="str">
        <f aca="false">IF(O136="","",IFERROR(INDEX(Reference_Data!$J$5:$J$14,MATCH(O136,Reference_Data!$H$5:$H$14,0)),""))</f>
        <v/>
      </c>
      <c r="Q136" s="37"/>
      <c r="R136" s="38"/>
      <c r="S136" s="12"/>
      <c r="T136" s="40" t="str">
        <f aca="false">IF(R136="","",R136+Reference_Data!$AL$6)</f>
        <v/>
      </c>
      <c r="U136" s="31" t="str">
        <f aca="true">IF(C136="","",IF(Q136="Yes","Decertification Record",IF(J136="","—",IF(COUNTIFS($C$5:$C$304,C136,$F$5:$F$304,F136,$J$5:$J$304,"&gt;"&amp;J136)&gt;0,"Superseded",IF(COUNTIFS($C$5:$C$304,C136,$F$5:$F$304,F136,$R$5:$R$304,"&gt;="&amp;J136)&gt;0,"Decertified",IF(K136&lt;TODAY(),"Expired","Active"))))))</f>
        <v/>
      </c>
      <c r="V136" s="37"/>
      <c r="W136" s="12"/>
    </row>
    <row r="137" customFormat="false" ht="15" hidden="false" customHeight="false" outlineLevel="0" collapsed="false">
      <c r="A137" s="37"/>
      <c r="B137" s="38"/>
      <c r="C137" s="37"/>
      <c r="D137" s="31" t="str">
        <f aca="false">IF($C137="","",IFERROR(INDEX(Employee_Master!$B$5:$B$104,MATCH($C137,Employee_Master!$A$5:$A$104,0)),"ID not found"))</f>
        <v/>
      </c>
      <c r="E137" s="31" t="str">
        <f aca="false">IF($C137="","",IFERROR(INDEX(Employee_Master!$C$5:$C$104,MATCH($C137,Employee_Master!$A$5:$A$104,0)),"ID not found"))</f>
        <v/>
      </c>
      <c r="F137" s="37"/>
      <c r="G137" s="37"/>
      <c r="H137" s="37"/>
      <c r="I137" s="39"/>
      <c r="J137" s="38"/>
      <c r="K137" s="40" t="str">
        <f aca="false">IF(J137="","",EDATE(J137,Reference_Data!$AL$5))</f>
        <v/>
      </c>
      <c r="L137" s="37"/>
      <c r="M137" s="12"/>
      <c r="N137" s="41"/>
      <c r="O137" s="37"/>
      <c r="P137" s="31" t="str">
        <f aca="false">IF(O137="","",IFERROR(INDEX(Reference_Data!$J$5:$J$14,MATCH(O137,Reference_Data!$H$5:$H$14,0)),""))</f>
        <v/>
      </c>
      <c r="Q137" s="37"/>
      <c r="R137" s="38"/>
      <c r="S137" s="12"/>
      <c r="T137" s="40" t="str">
        <f aca="false">IF(R137="","",R137+Reference_Data!$AL$6)</f>
        <v/>
      </c>
      <c r="U137" s="31" t="str">
        <f aca="true">IF(C137="","",IF(Q137="Yes","Decertification Record",IF(J137="","—",IF(COUNTIFS($C$5:$C$304,C137,$F$5:$F$304,F137,$J$5:$J$304,"&gt;"&amp;J137)&gt;0,"Superseded",IF(COUNTIFS($C$5:$C$304,C137,$F$5:$F$304,F137,$R$5:$R$304,"&gt;="&amp;J137)&gt;0,"Decertified",IF(K137&lt;TODAY(),"Expired","Active"))))))</f>
        <v/>
      </c>
      <c r="V137" s="37"/>
      <c r="W137" s="12"/>
    </row>
    <row r="138" customFormat="false" ht="15" hidden="false" customHeight="false" outlineLevel="0" collapsed="false">
      <c r="A138" s="37"/>
      <c r="B138" s="38"/>
      <c r="C138" s="37"/>
      <c r="D138" s="31" t="str">
        <f aca="false">IF($C138="","",IFERROR(INDEX(Employee_Master!$B$5:$B$104,MATCH($C138,Employee_Master!$A$5:$A$104,0)),"ID not found"))</f>
        <v/>
      </c>
      <c r="E138" s="31" t="str">
        <f aca="false">IF($C138="","",IFERROR(INDEX(Employee_Master!$C$5:$C$104,MATCH($C138,Employee_Master!$A$5:$A$104,0)),"ID not found"))</f>
        <v/>
      </c>
      <c r="F138" s="37"/>
      <c r="G138" s="37"/>
      <c r="H138" s="37"/>
      <c r="I138" s="39"/>
      <c r="J138" s="38"/>
      <c r="K138" s="40" t="str">
        <f aca="false">IF(J138="","",EDATE(J138,Reference_Data!$AL$5))</f>
        <v/>
      </c>
      <c r="L138" s="37"/>
      <c r="M138" s="12"/>
      <c r="N138" s="41"/>
      <c r="O138" s="37"/>
      <c r="P138" s="31" t="str">
        <f aca="false">IF(O138="","",IFERROR(INDEX(Reference_Data!$J$5:$J$14,MATCH(O138,Reference_Data!$H$5:$H$14,0)),""))</f>
        <v/>
      </c>
      <c r="Q138" s="37"/>
      <c r="R138" s="38"/>
      <c r="S138" s="12"/>
      <c r="T138" s="40" t="str">
        <f aca="false">IF(R138="","",R138+Reference_Data!$AL$6)</f>
        <v/>
      </c>
      <c r="U138" s="31" t="str">
        <f aca="true">IF(C138="","",IF(Q138="Yes","Decertification Record",IF(J138="","—",IF(COUNTIFS($C$5:$C$304,C138,$F$5:$F$304,F138,$J$5:$J$304,"&gt;"&amp;J138)&gt;0,"Superseded",IF(COUNTIFS($C$5:$C$304,C138,$F$5:$F$304,F138,$R$5:$R$304,"&gt;="&amp;J138)&gt;0,"Decertified",IF(K138&lt;TODAY(),"Expired","Active"))))))</f>
        <v/>
      </c>
      <c r="V138" s="37"/>
      <c r="W138" s="12"/>
    </row>
    <row r="139" customFormat="false" ht="15" hidden="false" customHeight="false" outlineLevel="0" collapsed="false">
      <c r="A139" s="37"/>
      <c r="B139" s="38"/>
      <c r="C139" s="37"/>
      <c r="D139" s="31" t="str">
        <f aca="false">IF($C139="","",IFERROR(INDEX(Employee_Master!$B$5:$B$104,MATCH($C139,Employee_Master!$A$5:$A$104,0)),"ID not found"))</f>
        <v/>
      </c>
      <c r="E139" s="31" t="str">
        <f aca="false">IF($C139="","",IFERROR(INDEX(Employee_Master!$C$5:$C$104,MATCH($C139,Employee_Master!$A$5:$A$104,0)),"ID not found"))</f>
        <v/>
      </c>
      <c r="F139" s="37"/>
      <c r="G139" s="37"/>
      <c r="H139" s="37"/>
      <c r="I139" s="39"/>
      <c r="J139" s="38"/>
      <c r="K139" s="40" t="str">
        <f aca="false">IF(J139="","",EDATE(J139,Reference_Data!$AL$5))</f>
        <v/>
      </c>
      <c r="L139" s="37"/>
      <c r="M139" s="12"/>
      <c r="N139" s="41"/>
      <c r="O139" s="37"/>
      <c r="P139" s="31" t="str">
        <f aca="false">IF(O139="","",IFERROR(INDEX(Reference_Data!$J$5:$J$14,MATCH(O139,Reference_Data!$H$5:$H$14,0)),""))</f>
        <v/>
      </c>
      <c r="Q139" s="37"/>
      <c r="R139" s="38"/>
      <c r="S139" s="12"/>
      <c r="T139" s="40" t="str">
        <f aca="false">IF(R139="","",R139+Reference_Data!$AL$6)</f>
        <v/>
      </c>
      <c r="U139" s="31" t="str">
        <f aca="true">IF(C139="","",IF(Q139="Yes","Decertification Record",IF(J139="","—",IF(COUNTIFS($C$5:$C$304,C139,$F$5:$F$304,F139,$J$5:$J$304,"&gt;"&amp;J139)&gt;0,"Superseded",IF(COUNTIFS($C$5:$C$304,C139,$F$5:$F$304,F139,$R$5:$R$304,"&gt;="&amp;J139)&gt;0,"Decertified",IF(K139&lt;TODAY(),"Expired","Active"))))))</f>
        <v/>
      </c>
      <c r="V139" s="37"/>
      <c r="W139" s="12"/>
    </row>
    <row r="140" customFormat="false" ht="15" hidden="false" customHeight="false" outlineLevel="0" collapsed="false">
      <c r="A140" s="37"/>
      <c r="B140" s="38"/>
      <c r="C140" s="37"/>
      <c r="D140" s="31" t="str">
        <f aca="false">IF($C140="","",IFERROR(INDEX(Employee_Master!$B$5:$B$104,MATCH($C140,Employee_Master!$A$5:$A$104,0)),"ID not found"))</f>
        <v/>
      </c>
      <c r="E140" s="31" t="str">
        <f aca="false">IF($C140="","",IFERROR(INDEX(Employee_Master!$C$5:$C$104,MATCH($C140,Employee_Master!$A$5:$A$104,0)),"ID not found"))</f>
        <v/>
      </c>
      <c r="F140" s="37"/>
      <c r="G140" s="37"/>
      <c r="H140" s="37"/>
      <c r="I140" s="39"/>
      <c r="J140" s="38"/>
      <c r="K140" s="40" t="str">
        <f aca="false">IF(J140="","",EDATE(J140,Reference_Data!$AL$5))</f>
        <v/>
      </c>
      <c r="L140" s="37"/>
      <c r="M140" s="12"/>
      <c r="N140" s="41"/>
      <c r="O140" s="37"/>
      <c r="P140" s="31" t="str">
        <f aca="false">IF(O140="","",IFERROR(INDEX(Reference_Data!$J$5:$J$14,MATCH(O140,Reference_Data!$H$5:$H$14,0)),""))</f>
        <v/>
      </c>
      <c r="Q140" s="37"/>
      <c r="R140" s="38"/>
      <c r="S140" s="12"/>
      <c r="T140" s="40" t="str">
        <f aca="false">IF(R140="","",R140+Reference_Data!$AL$6)</f>
        <v/>
      </c>
      <c r="U140" s="31" t="str">
        <f aca="true">IF(C140="","",IF(Q140="Yes","Decertification Record",IF(J140="","—",IF(COUNTIFS($C$5:$C$304,C140,$F$5:$F$304,F140,$J$5:$J$304,"&gt;"&amp;J140)&gt;0,"Superseded",IF(COUNTIFS($C$5:$C$304,C140,$F$5:$F$304,F140,$R$5:$R$304,"&gt;="&amp;J140)&gt;0,"Decertified",IF(K140&lt;TODAY(),"Expired","Active"))))))</f>
        <v/>
      </c>
      <c r="V140" s="37"/>
      <c r="W140" s="12"/>
    </row>
    <row r="141" customFormat="false" ht="15" hidden="false" customHeight="false" outlineLevel="0" collapsed="false">
      <c r="A141" s="37"/>
      <c r="B141" s="38"/>
      <c r="C141" s="37"/>
      <c r="D141" s="31" t="str">
        <f aca="false">IF($C141="","",IFERROR(INDEX(Employee_Master!$B$5:$B$104,MATCH($C141,Employee_Master!$A$5:$A$104,0)),"ID not found"))</f>
        <v/>
      </c>
      <c r="E141" s="31" t="str">
        <f aca="false">IF($C141="","",IFERROR(INDEX(Employee_Master!$C$5:$C$104,MATCH($C141,Employee_Master!$A$5:$A$104,0)),"ID not found"))</f>
        <v/>
      </c>
      <c r="F141" s="37"/>
      <c r="G141" s="37"/>
      <c r="H141" s="37"/>
      <c r="I141" s="39"/>
      <c r="J141" s="38"/>
      <c r="K141" s="40" t="str">
        <f aca="false">IF(J141="","",EDATE(J141,Reference_Data!$AL$5))</f>
        <v/>
      </c>
      <c r="L141" s="37"/>
      <c r="M141" s="12"/>
      <c r="N141" s="41"/>
      <c r="O141" s="37"/>
      <c r="P141" s="31" t="str">
        <f aca="false">IF(O141="","",IFERROR(INDEX(Reference_Data!$J$5:$J$14,MATCH(O141,Reference_Data!$H$5:$H$14,0)),""))</f>
        <v/>
      </c>
      <c r="Q141" s="37"/>
      <c r="R141" s="38"/>
      <c r="S141" s="12"/>
      <c r="T141" s="40" t="str">
        <f aca="false">IF(R141="","",R141+Reference_Data!$AL$6)</f>
        <v/>
      </c>
      <c r="U141" s="31" t="str">
        <f aca="true">IF(C141="","",IF(Q141="Yes","Decertification Record",IF(J141="","—",IF(COUNTIFS($C$5:$C$304,C141,$F$5:$F$304,F141,$J$5:$J$304,"&gt;"&amp;J141)&gt;0,"Superseded",IF(COUNTIFS($C$5:$C$304,C141,$F$5:$F$304,F141,$R$5:$R$304,"&gt;="&amp;J141)&gt;0,"Decertified",IF(K141&lt;TODAY(),"Expired","Active"))))))</f>
        <v/>
      </c>
      <c r="V141" s="37"/>
      <c r="W141" s="12"/>
    </row>
    <row r="142" customFormat="false" ht="15" hidden="false" customHeight="false" outlineLevel="0" collapsed="false">
      <c r="A142" s="37"/>
      <c r="B142" s="38"/>
      <c r="C142" s="37"/>
      <c r="D142" s="31" t="str">
        <f aca="false">IF($C142="","",IFERROR(INDEX(Employee_Master!$B$5:$B$104,MATCH($C142,Employee_Master!$A$5:$A$104,0)),"ID not found"))</f>
        <v/>
      </c>
      <c r="E142" s="31" t="str">
        <f aca="false">IF($C142="","",IFERROR(INDEX(Employee_Master!$C$5:$C$104,MATCH($C142,Employee_Master!$A$5:$A$104,0)),"ID not found"))</f>
        <v/>
      </c>
      <c r="F142" s="37"/>
      <c r="G142" s="37"/>
      <c r="H142" s="37"/>
      <c r="I142" s="39"/>
      <c r="J142" s="38"/>
      <c r="K142" s="40" t="str">
        <f aca="false">IF(J142="","",EDATE(J142,Reference_Data!$AL$5))</f>
        <v/>
      </c>
      <c r="L142" s="37"/>
      <c r="M142" s="12"/>
      <c r="N142" s="41"/>
      <c r="O142" s="37"/>
      <c r="P142" s="31" t="str">
        <f aca="false">IF(O142="","",IFERROR(INDEX(Reference_Data!$J$5:$J$14,MATCH(O142,Reference_Data!$H$5:$H$14,0)),""))</f>
        <v/>
      </c>
      <c r="Q142" s="37"/>
      <c r="R142" s="38"/>
      <c r="S142" s="12"/>
      <c r="T142" s="40" t="str">
        <f aca="false">IF(R142="","",R142+Reference_Data!$AL$6)</f>
        <v/>
      </c>
      <c r="U142" s="31" t="str">
        <f aca="true">IF(C142="","",IF(Q142="Yes","Decertification Record",IF(J142="","—",IF(COUNTIFS($C$5:$C$304,C142,$F$5:$F$304,F142,$J$5:$J$304,"&gt;"&amp;J142)&gt;0,"Superseded",IF(COUNTIFS($C$5:$C$304,C142,$F$5:$F$304,F142,$R$5:$R$304,"&gt;="&amp;J142)&gt;0,"Decertified",IF(K142&lt;TODAY(),"Expired","Active"))))))</f>
        <v/>
      </c>
      <c r="V142" s="37"/>
      <c r="W142" s="12"/>
    </row>
    <row r="143" customFormat="false" ht="15" hidden="false" customHeight="false" outlineLevel="0" collapsed="false">
      <c r="A143" s="37"/>
      <c r="B143" s="38"/>
      <c r="C143" s="37"/>
      <c r="D143" s="31" t="str">
        <f aca="false">IF($C143="","",IFERROR(INDEX(Employee_Master!$B$5:$B$104,MATCH($C143,Employee_Master!$A$5:$A$104,0)),"ID not found"))</f>
        <v/>
      </c>
      <c r="E143" s="31" t="str">
        <f aca="false">IF($C143="","",IFERROR(INDEX(Employee_Master!$C$5:$C$104,MATCH($C143,Employee_Master!$A$5:$A$104,0)),"ID not found"))</f>
        <v/>
      </c>
      <c r="F143" s="37"/>
      <c r="G143" s="37"/>
      <c r="H143" s="37"/>
      <c r="I143" s="39"/>
      <c r="J143" s="38"/>
      <c r="K143" s="40" t="str">
        <f aca="false">IF(J143="","",EDATE(J143,Reference_Data!$AL$5))</f>
        <v/>
      </c>
      <c r="L143" s="37"/>
      <c r="M143" s="12"/>
      <c r="N143" s="41"/>
      <c r="O143" s="37"/>
      <c r="P143" s="31" t="str">
        <f aca="false">IF(O143="","",IFERROR(INDEX(Reference_Data!$J$5:$J$14,MATCH(O143,Reference_Data!$H$5:$H$14,0)),""))</f>
        <v/>
      </c>
      <c r="Q143" s="37"/>
      <c r="R143" s="38"/>
      <c r="S143" s="12"/>
      <c r="T143" s="40" t="str">
        <f aca="false">IF(R143="","",R143+Reference_Data!$AL$6)</f>
        <v/>
      </c>
      <c r="U143" s="31" t="str">
        <f aca="true">IF(C143="","",IF(Q143="Yes","Decertification Record",IF(J143="","—",IF(COUNTIFS($C$5:$C$304,C143,$F$5:$F$304,F143,$J$5:$J$304,"&gt;"&amp;J143)&gt;0,"Superseded",IF(COUNTIFS($C$5:$C$304,C143,$F$5:$F$304,F143,$R$5:$R$304,"&gt;="&amp;J143)&gt;0,"Decertified",IF(K143&lt;TODAY(),"Expired","Active"))))))</f>
        <v/>
      </c>
      <c r="V143" s="37"/>
      <c r="W143" s="12"/>
    </row>
    <row r="144" customFormat="false" ht="15" hidden="false" customHeight="false" outlineLevel="0" collapsed="false">
      <c r="A144" s="37"/>
      <c r="B144" s="38"/>
      <c r="C144" s="37"/>
      <c r="D144" s="31" t="str">
        <f aca="false">IF($C144="","",IFERROR(INDEX(Employee_Master!$B$5:$B$104,MATCH($C144,Employee_Master!$A$5:$A$104,0)),"ID not found"))</f>
        <v/>
      </c>
      <c r="E144" s="31" t="str">
        <f aca="false">IF($C144="","",IFERROR(INDEX(Employee_Master!$C$5:$C$104,MATCH($C144,Employee_Master!$A$5:$A$104,0)),"ID not found"))</f>
        <v/>
      </c>
      <c r="F144" s="37"/>
      <c r="G144" s="37"/>
      <c r="H144" s="37"/>
      <c r="I144" s="39"/>
      <c r="J144" s="38"/>
      <c r="K144" s="40" t="str">
        <f aca="false">IF(J144="","",EDATE(J144,Reference_Data!$AL$5))</f>
        <v/>
      </c>
      <c r="L144" s="37"/>
      <c r="M144" s="12"/>
      <c r="N144" s="41"/>
      <c r="O144" s="37"/>
      <c r="P144" s="31" t="str">
        <f aca="false">IF(O144="","",IFERROR(INDEX(Reference_Data!$J$5:$J$14,MATCH(O144,Reference_Data!$H$5:$H$14,0)),""))</f>
        <v/>
      </c>
      <c r="Q144" s="37"/>
      <c r="R144" s="38"/>
      <c r="S144" s="12"/>
      <c r="T144" s="40" t="str">
        <f aca="false">IF(R144="","",R144+Reference_Data!$AL$6)</f>
        <v/>
      </c>
      <c r="U144" s="31" t="str">
        <f aca="true">IF(C144="","",IF(Q144="Yes","Decertification Record",IF(J144="","—",IF(COUNTIFS($C$5:$C$304,C144,$F$5:$F$304,F144,$J$5:$J$304,"&gt;"&amp;J144)&gt;0,"Superseded",IF(COUNTIFS($C$5:$C$304,C144,$F$5:$F$304,F144,$R$5:$R$304,"&gt;="&amp;J144)&gt;0,"Decertified",IF(K144&lt;TODAY(),"Expired","Active"))))))</f>
        <v/>
      </c>
      <c r="V144" s="37"/>
      <c r="W144" s="12"/>
    </row>
    <row r="145" customFormat="false" ht="15" hidden="false" customHeight="false" outlineLevel="0" collapsed="false">
      <c r="A145" s="37"/>
      <c r="B145" s="38"/>
      <c r="C145" s="37"/>
      <c r="D145" s="31" t="str">
        <f aca="false">IF($C145="","",IFERROR(INDEX(Employee_Master!$B$5:$B$104,MATCH($C145,Employee_Master!$A$5:$A$104,0)),"ID not found"))</f>
        <v/>
      </c>
      <c r="E145" s="31" t="str">
        <f aca="false">IF($C145="","",IFERROR(INDEX(Employee_Master!$C$5:$C$104,MATCH($C145,Employee_Master!$A$5:$A$104,0)),"ID not found"))</f>
        <v/>
      </c>
      <c r="F145" s="37"/>
      <c r="G145" s="37"/>
      <c r="H145" s="37"/>
      <c r="I145" s="39"/>
      <c r="J145" s="38"/>
      <c r="K145" s="40" t="str">
        <f aca="false">IF(J145="","",EDATE(J145,Reference_Data!$AL$5))</f>
        <v/>
      </c>
      <c r="L145" s="37"/>
      <c r="M145" s="12"/>
      <c r="N145" s="41"/>
      <c r="O145" s="37"/>
      <c r="P145" s="31" t="str">
        <f aca="false">IF(O145="","",IFERROR(INDEX(Reference_Data!$J$5:$J$14,MATCH(O145,Reference_Data!$H$5:$H$14,0)),""))</f>
        <v/>
      </c>
      <c r="Q145" s="37"/>
      <c r="R145" s="38"/>
      <c r="S145" s="12"/>
      <c r="T145" s="40" t="str">
        <f aca="false">IF(R145="","",R145+Reference_Data!$AL$6)</f>
        <v/>
      </c>
      <c r="U145" s="31" t="str">
        <f aca="true">IF(C145="","",IF(Q145="Yes","Decertification Record",IF(J145="","—",IF(COUNTIFS($C$5:$C$304,C145,$F$5:$F$304,F145,$J$5:$J$304,"&gt;"&amp;J145)&gt;0,"Superseded",IF(COUNTIFS($C$5:$C$304,C145,$F$5:$F$304,F145,$R$5:$R$304,"&gt;="&amp;J145)&gt;0,"Decertified",IF(K145&lt;TODAY(),"Expired","Active"))))))</f>
        <v/>
      </c>
      <c r="V145" s="37"/>
      <c r="W145" s="12"/>
    </row>
    <row r="146" customFormat="false" ht="15" hidden="false" customHeight="false" outlineLevel="0" collapsed="false">
      <c r="A146" s="37"/>
      <c r="B146" s="38"/>
      <c r="C146" s="37"/>
      <c r="D146" s="31" t="str">
        <f aca="false">IF($C146="","",IFERROR(INDEX(Employee_Master!$B$5:$B$104,MATCH($C146,Employee_Master!$A$5:$A$104,0)),"ID not found"))</f>
        <v/>
      </c>
      <c r="E146" s="31" t="str">
        <f aca="false">IF($C146="","",IFERROR(INDEX(Employee_Master!$C$5:$C$104,MATCH($C146,Employee_Master!$A$5:$A$104,0)),"ID not found"))</f>
        <v/>
      </c>
      <c r="F146" s="37"/>
      <c r="G146" s="37"/>
      <c r="H146" s="37"/>
      <c r="I146" s="39"/>
      <c r="J146" s="38"/>
      <c r="K146" s="40" t="str">
        <f aca="false">IF(J146="","",EDATE(J146,Reference_Data!$AL$5))</f>
        <v/>
      </c>
      <c r="L146" s="37"/>
      <c r="M146" s="12"/>
      <c r="N146" s="41"/>
      <c r="O146" s="37"/>
      <c r="P146" s="31" t="str">
        <f aca="false">IF(O146="","",IFERROR(INDEX(Reference_Data!$J$5:$J$14,MATCH(O146,Reference_Data!$H$5:$H$14,0)),""))</f>
        <v/>
      </c>
      <c r="Q146" s="37"/>
      <c r="R146" s="38"/>
      <c r="S146" s="12"/>
      <c r="T146" s="40" t="str">
        <f aca="false">IF(R146="","",R146+Reference_Data!$AL$6)</f>
        <v/>
      </c>
      <c r="U146" s="31" t="str">
        <f aca="true">IF(C146="","",IF(Q146="Yes","Decertification Record",IF(J146="","—",IF(COUNTIFS($C$5:$C$304,C146,$F$5:$F$304,F146,$J$5:$J$304,"&gt;"&amp;J146)&gt;0,"Superseded",IF(COUNTIFS($C$5:$C$304,C146,$F$5:$F$304,F146,$R$5:$R$304,"&gt;="&amp;J146)&gt;0,"Decertified",IF(K146&lt;TODAY(),"Expired","Active"))))))</f>
        <v/>
      </c>
      <c r="V146" s="37"/>
      <c r="W146" s="12"/>
    </row>
    <row r="147" customFormat="false" ht="15" hidden="false" customHeight="false" outlineLevel="0" collapsed="false">
      <c r="A147" s="37"/>
      <c r="B147" s="38"/>
      <c r="C147" s="37"/>
      <c r="D147" s="31" t="str">
        <f aca="false">IF($C147="","",IFERROR(INDEX(Employee_Master!$B$5:$B$104,MATCH($C147,Employee_Master!$A$5:$A$104,0)),"ID not found"))</f>
        <v/>
      </c>
      <c r="E147" s="31" t="str">
        <f aca="false">IF($C147="","",IFERROR(INDEX(Employee_Master!$C$5:$C$104,MATCH($C147,Employee_Master!$A$5:$A$104,0)),"ID not found"))</f>
        <v/>
      </c>
      <c r="F147" s="37"/>
      <c r="G147" s="37"/>
      <c r="H147" s="37"/>
      <c r="I147" s="39"/>
      <c r="J147" s="38"/>
      <c r="K147" s="40" t="str">
        <f aca="false">IF(J147="","",EDATE(J147,Reference_Data!$AL$5))</f>
        <v/>
      </c>
      <c r="L147" s="37"/>
      <c r="M147" s="12"/>
      <c r="N147" s="41"/>
      <c r="O147" s="37"/>
      <c r="P147" s="31" t="str">
        <f aca="false">IF(O147="","",IFERROR(INDEX(Reference_Data!$J$5:$J$14,MATCH(O147,Reference_Data!$H$5:$H$14,0)),""))</f>
        <v/>
      </c>
      <c r="Q147" s="37"/>
      <c r="R147" s="38"/>
      <c r="S147" s="12"/>
      <c r="T147" s="40" t="str">
        <f aca="false">IF(R147="","",R147+Reference_Data!$AL$6)</f>
        <v/>
      </c>
      <c r="U147" s="31" t="str">
        <f aca="true">IF(C147="","",IF(Q147="Yes","Decertification Record",IF(J147="","—",IF(COUNTIFS($C$5:$C$304,C147,$F$5:$F$304,F147,$J$5:$J$304,"&gt;"&amp;J147)&gt;0,"Superseded",IF(COUNTIFS($C$5:$C$304,C147,$F$5:$F$304,F147,$R$5:$R$304,"&gt;="&amp;J147)&gt;0,"Decertified",IF(K147&lt;TODAY(),"Expired","Active"))))))</f>
        <v/>
      </c>
      <c r="V147" s="37"/>
      <c r="W147" s="12"/>
    </row>
    <row r="148" customFormat="false" ht="15" hidden="false" customHeight="false" outlineLevel="0" collapsed="false">
      <c r="A148" s="37"/>
      <c r="B148" s="38"/>
      <c r="C148" s="37"/>
      <c r="D148" s="31" t="str">
        <f aca="false">IF($C148="","",IFERROR(INDEX(Employee_Master!$B$5:$B$104,MATCH($C148,Employee_Master!$A$5:$A$104,0)),"ID not found"))</f>
        <v/>
      </c>
      <c r="E148" s="31" t="str">
        <f aca="false">IF($C148="","",IFERROR(INDEX(Employee_Master!$C$5:$C$104,MATCH($C148,Employee_Master!$A$5:$A$104,0)),"ID not found"))</f>
        <v/>
      </c>
      <c r="F148" s="37"/>
      <c r="G148" s="37"/>
      <c r="H148" s="37"/>
      <c r="I148" s="39"/>
      <c r="J148" s="38"/>
      <c r="K148" s="40" t="str">
        <f aca="false">IF(J148="","",EDATE(J148,Reference_Data!$AL$5))</f>
        <v/>
      </c>
      <c r="L148" s="37"/>
      <c r="M148" s="12"/>
      <c r="N148" s="41"/>
      <c r="O148" s="37"/>
      <c r="P148" s="31" t="str">
        <f aca="false">IF(O148="","",IFERROR(INDEX(Reference_Data!$J$5:$J$14,MATCH(O148,Reference_Data!$H$5:$H$14,0)),""))</f>
        <v/>
      </c>
      <c r="Q148" s="37"/>
      <c r="R148" s="38"/>
      <c r="S148" s="12"/>
      <c r="T148" s="40" t="str">
        <f aca="false">IF(R148="","",R148+Reference_Data!$AL$6)</f>
        <v/>
      </c>
      <c r="U148" s="31" t="str">
        <f aca="true">IF(C148="","",IF(Q148="Yes","Decertification Record",IF(J148="","—",IF(COUNTIFS($C$5:$C$304,C148,$F$5:$F$304,F148,$J$5:$J$304,"&gt;"&amp;J148)&gt;0,"Superseded",IF(COUNTIFS($C$5:$C$304,C148,$F$5:$F$304,F148,$R$5:$R$304,"&gt;="&amp;J148)&gt;0,"Decertified",IF(K148&lt;TODAY(),"Expired","Active"))))))</f>
        <v/>
      </c>
      <c r="V148" s="37"/>
      <c r="W148" s="12"/>
    </row>
    <row r="149" customFormat="false" ht="15" hidden="false" customHeight="false" outlineLevel="0" collapsed="false">
      <c r="A149" s="37"/>
      <c r="B149" s="38"/>
      <c r="C149" s="37"/>
      <c r="D149" s="31" t="str">
        <f aca="false">IF($C149="","",IFERROR(INDEX(Employee_Master!$B$5:$B$104,MATCH($C149,Employee_Master!$A$5:$A$104,0)),"ID not found"))</f>
        <v/>
      </c>
      <c r="E149" s="31" t="str">
        <f aca="false">IF($C149="","",IFERROR(INDEX(Employee_Master!$C$5:$C$104,MATCH($C149,Employee_Master!$A$5:$A$104,0)),"ID not found"))</f>
        <v/>
      </c>
      <c r="F149" s="37"/>
      <c r="G149" s="37"/>
      <c r="H149" s="37"/>
      <c r="I149" s="39"/>
      <c r="J149" s="38"/>
      <c r="K149" s="40" t="str">
        <f aca="false">IF(J149="","",EDATE(J149,Reference_Data!$AL$5))</f>
        <v/>
      </c>
      <c r="L149" s="37"/>
      <c r="M149" s="12"/>
      <c r="N149" s="41"/>
      <c r="O149" s="37"/>
      <c r="P149" s="31" t="str">
        <f aca="false">IF(O149="","",IFERROR(INDEX(Reference_Data!$J$5:$J$14,MATCH(O149,Reference_Data!$H$5:$H$14,0)),""))</f>
        <v/>
      </c>
      <c r="Q149" s="37"/>
      <c r="R149" s="38"/>
      <c r="S149" s="12"/>
      <c r="T149" s="40" t="str">
        <f aca="false">IF(R149="","",R149+Reference_Data!$AL$6)</f>
        <v/>
      </c>
      <c r="U149" s="31" t="str">
        <f aca="true">IF(C149="","",IF(Q149="Yes","Decertification Record",IF(J149="","—",IF(COUNTIFS($C$5:$C$304,C149,$F$5:$F$304,F149,$J$5:$J$304,"&gt;"&amp;J149)&gt;0,"Superseded",IF(COUNTIFS($C$5:$C$304,C149,$F$5:$F$304,F149,$R$5:$R$304,"&gt;="&amp;J149)&gt;0,"Decertified",IF(K149&lt;TODAY(),"Expired","Active"))))))</f>
        <v/>
      </c>
      <c r="V149" s="37"/>
      <c r="W149" s="12"/>
    </row>
    <row r="150" customFormat="false" ht="15" hidden="false" customHeight="false" outlineLevel="0" collapsed="false">
      <c r="A150" s="37"/>
      <c r="B150" s="38"/>
      <c r="C150" s="37"/>
      <c r="D150" s="31" t="str">
        <f aca="false">IF($C150="","",IFERROR(INDEX(Employee_Master!$B$5:$B$104,MATCH($C150,Employee_Master!$A$5:$A$104,0)),"ID not found"))</f>
        <v/>
      </c>
      <c r="E150" s="31" t="str">
        <f aca="false">IF($C150="","",IFERROR(INDEX(Employee_Master!$C$5:$C$104,MATCH($C150,Employee_Master!$A$5:$A$104,0)),"ID not found"))</f>
        <v/>
      </c>
      <c r="F150" s="37"/>
      <c r="G150" s="37"/>
      <c r="H150" s="37"/>
      <c r="I150" s="39"/>
      <c r="J150" s="38"/>
      <c r="K150" s="40" t="str">
        <f aca="false">IF(J150="","",EDATE(J150,Reference_Data!$AL$5))</f>
        <v/>
      </c>
      <c r="L150" s="37"/>
      <c r="M150" s="12"/>
      <c r="N150" s="41"/>
      <c r="O150" s="37"/>
      <c r="P150" s="31" t="str">
        <f aca="false">IF(O150="","",IFERROR(INDEX(Reference_Data!$J$5:$J$14,MATCH(O150,Reference_Data!$H$5:$H$14,0)),""))</f>
        <v/>
      </c>
      <c r="Q150" s="37"/>
      <c r="R150" s="38"/>
      <c r="S150" s="12"/>
      <c r="T150" s="40" t="str">
        <f aca="false">IF(R150="","",R150+Reference_Data!$AL$6)</f>
        <v/>
      </c>
      <c r="U150" s="31" t="str">
        <f aca="true">IF(C150="","",IF(Q150="Yes","Decertification Record",IF(J150="","—",IF(COUNTIFS($C$5:$C$304,C150,$F$5:$F$304,F150,$J$5:$J$304,"&gt;"&amp;J150)&gt;0,"Superseded",IF(COUNTIFS($C$5:$C$304,C150,$F$5:$F$304,F150,$R$5:$R$304,"&gt;="&amp;J150)&gt;0,"Decertified",IF(K150&lt;TODAY(),"Expired","Active"))))))</f>
        <v/>
      </c>
      <c r="V150" s="37"/>
      <c r="W150" s="12"/>
    </row>
    <row r="151" customFormat="false" ht="15" hidden="false" customHeight="false" outlineLevel="0" collapsed="false">
      <c r="A151" s="37"/>
      <c r="B151" s="38"/>
      <c r="C151" s="37"/>
      <c r="D151" s="31" t="str">
        <f aca="false">IF($C151="","",IFERROR(INDEX(Employee_Master!$B$5:$B$104,MATCH($C151,Employee_Master!$A$5:$A$104,0)),"ID not found"))</f>
        <v/>
      </c>
      <c r="E151" s="31" t="str">
        <f aca="false">IF($C151="","",IFERROR(INDEX(Employee_Master!$C$5:$C$104,MATCH($C151,Employee_Master!$A$5:$A$104,0)),"ID not found"))</f>
        <v/>
      </c>
      <c r="F151" s="37"/>
      <c r="G151" s="37"/>
      <c r="H151" s="37"/>
      <c r="I151" s="39"/>
      <c r="J151" s="38"/>
      <c r="K151" s="40" t="str">
        <f aca="false">IF(J151="","",EDATE(J151,Reference_Data!$AL$5))</f>
        <v/>
      </c>
      <c r="L151" s="37"/>
      <c r="M151" s="12"/>
      <c r="N151" s="41"/>
      <c r="O151" s="37"/>
      <c r="P151" s="31" t="str">
        <f aca="false">IF(O151="","",IFERROR(INDEX(Reference_Data!$J$5:$J$14,MATCH(O151,Reference_Data!$H$5:$H$14,0)),""))</f>
        <v/>
      </c>
      <c r="Q151" s="37"/>
      <c r="R151" s="38"/>
      <c r="S151" s="12"/>
      <c r="T151" s="40" t="str">
        <f aca="false">IF(R151="","",R151+Reference_Data!$AL$6)</f>
        <v/>
      </c>
      <c r="U151" s="31" t="str">
        <f aca="true">IF(C151="","",IF(Q151="Yes","Decertification Record",IF(J151="","—",IF(COUNTIFS($C$5:$C$304,C151,$F$5:$F$304,F151,$J$5:$J$304,"&gt;"&amp;J151)&gt;0,"Superseded",IF(COUNTIFS($C$5:$C$304,C151,$F$5:$F$304,F151,$R$5:$R$304,"&gt;="&amp;J151)&gt;0,"Decertified",IF(K151&lt;TODAY(),"Expired","Active"))))))</f>
        <v/>
      </c>
      <c r="V151" s="37"/>
      <c r="W151" s="12"/>
    </row>
    <row r="152" customFormat="false" ht="15" hidden="false" customHeight="false" outlineLevel="0" collapsed="false">
      <c r="A152" s="37"/>
      <c r="B152" s="38"/>
      <c r="C152" s="37"/>
      <c r="D152" s="31" t="str">
        <f aca="false">IF($C152="","",IFERROR(INDEX(Employee_Master!$B$5:$B$104,MATCH($C152,Employee_Master!$A$5:$A$104,0)),"ID not found"))</f>
        <v/>
      </c>
      <c r="E152" s="31" t="str">
        <f aca="false">IF($C152="","",IFERROR(INDEX(Employee_Master!$C$5:$C$104,MATCH($C152,Employee_Master!$A$5:$A$104,0)),"ID not found"))</f>
        <v/>
      </c>
      <c r="F152" s="37"/>
      <c r="G152" s="37"/>
      <c r="H152" s="37"/>
      <c r="I152" s="39"/>
      <c r="J152" s="38"/>
      <c r="K152" s="40" t="str">
        <f aca="false">IF(J152="","",EDATE(J152,Reference_Data!$AL$5))</f>
        <v/>
      </c>
      <c r="L152" s="37"/>
      <c r="M152" s="12"/>
      <c r="N152" s="41"/>
      <c r="O152" s="37"/>
      <c r="P152" s="31" t="str">
        <f aca="false">IF(O152="","",IFERROR(INDEX(Reference_Data!$J$5:$J$14,MATCH(O152,Reference_Data!$H$5:$H$14,0)),""))</f>
        <v/>
      </c>
      <c r="Q152" s="37"/>
      <c r="R152" s="38"/>
      <c r="S152" s="12"/>
      <c r="T152" s="40" t="str">
        <f aca="false">IF(R152="","",R152+Reference_Data!$AL$6)</f>
        <v/>
      </c>
      <c r="U152" s="31" t="str">
        <f aca="true">IF(C152="","",IF(Q152="Yes","Decertification Record",IF(J152="","—",IF(COUNTIFS($C$5:$C$304,C152,$F$5:$F$304,F152,$J$5:$J$304,"&gt;"&amp;J152)&gt;0,"Superseded",IF(COUNTIFS($C$5:$C$304,C152,$F$5:$F$304,F152,$R$5:$R$304,"&gt;="&amp;J152)&gt;0,"Decertified",IF(K152&lt;TODAY(),"Expired","Active"))))))</f>
        <v/>
      </c>
      <c r="V152" s="37"/>
      <c r="W152" s="12"/>
    </row>
    <row r="153" customFormat="false" ht="15" hidden="false" customHeight="false" outlineLevel="0" collapsed="false">
      <c r="A153" s="37"/>
      <c r="B153" s="38"/>
      <c r="C153" s="37"/>
      <c r="D153" s="31" t="str">
        <f aca="false">IF($C153="","",IFERROR(INDEX(Employee_Master!$B$5:$B$104,MATCH($C153,Employee_Master!$A$5:$A$104,0)),"ID not found"))</f>
        <v/>
      </c>
      <c r="E153" s="31" t="str">
        <f aca="false">IF($C153="","",IFERROR(INDEX(Employee_Master!$C$5:$C$104,MATCH($C153,Employee_Master!$A$5:$A$104,0)),"ID not found"))</f>
        <v/>
      </c>
      <c r="F153" s="37"/>
      <c r="G153" s="37"/>
      <c r="H153" s="37"/>
      <c r="I153" s="39"/>
      <c r="J153" s="38"/>
      <c r="K153" s="40" t="str">
        <f aca="false">IF(J153="","",EDATE(J153,Reference_Data!$AL$5))</f>
        <v/>
      </c>
      <c r="L153" s="37"/>
      <c r="M153" s="12"/>
      <c r="N153" s="41"/>
      <c r="O153" s="37"/>
      <c r="P153" s="31" t="str">
        <f aca="false">IF(O153="","",IFERROR(INDEX(Reference_Data!$J$5:$J$14,MATCH(O153,Reference_Data!$H$5:$H$14,0)),""))</f>
        <v/>
      </c>
      <c r="Q153" s="37"/>
      <c r="R153" s="38"/>
      <c r="S153" s="12"/>
      <c r="T153" s="40" t="str">
        <f aca="false">IF(R153="","",R153+Reference_Data!$AL$6)</f>
        <v/>
      </c>
      <c r="U153" s="31" t="str">
        <f aca="true">IF(C153="","",IF(Q153="Yes","Decertification Record",IF(J153="","—",IF(COUNTIFS($C$5:$C$304,C153,$F$5:$F$304,F153,$J$5:$J$304,"&gt;"&amp;J153)&gt;0,"Superseded",IF(COUNTIFS($C$5:$C$304,C153,$F$5:$F$304,F153,$R$5:$R$304,"&gt;="&amp;J153)&gt;0,"Decertified",IF(K153&lt;TODAY(),"Expired","Active"))))))</f>
        <v/>
      </c>
      <c r="V153" s="37"/>
      <c r="W153" s="12"/>
    </row>
    <row r="154" customFormat="false" ht="15" hidden="false" customHeight="false" outlineLevel="0" collapsed="false">
      <c r="A154" s="37"/>
      <c r="B154" s="38"/>
      <c r="C154" s="37"/>
      <c r="D154" s="31" t="str">
        <f aca="false">IF($C154="","",IFERROR(INDEX(Employee_Master!$B$5:$B$104,MATCH($C154,Employee_Master!$A$5:$A$104,0)),"ID not found"))</f>
        <v/>
      </c>
      <c r="E154" s="31" t="str">
        <f aca="false">IF($C154="","",IFERROR(INDEX(Employee_Master!$C$5:$C$104,MATCH($C154,Employee_Master!$A$5:$A$104,0)),"ID not found"))</f>
        <v/>
      </c>
      <c r="F154" s="37"/>
      <c r="G154" s="37"/>
      <c r="H154" s="37"/>
      <c r="I154" s="39"/>
      <c r="J154" s="38"/>
      <c r="K154" s="40" t="str">
        <f aca="false">IF(J154="","",EDATE(J154,Reference_Data!$AL$5))</f>
        <v/>
      </c>
      <c r="L154" s="37"/>
      <c r="M154" s="12"/>
      <c r="N154" s="41"/>
      <c r="O154" s="37"/>
      <c r="P154" s="31" t="str">
        <f aca="false">IF(O154="","",IFERROR(INDEX(Reference_Data!$J$5:$J$14,MATCH(O154,Reference_Data!$H$5:$H$14,0)),""))</f>
        <v/>
      </c>
      <c r="Q154" s="37"/>
      <c r="R154" s="38"/>
      <c r="S154" s="12"/>
      <c r="T154" s="40" t="str">
        <f aca="false">IF(R154="","",R154+Reference_Data!$AL$6)</f>
        <v/>
      </c>
      <c r="U154" s="31" t="str">
        <f aca="true">IF(C154="","",IF(Q154="Yes","Decertification Record",IF(J154="","—",IF(COUNTIFS($C$5:$C$304,C154,$F$5:$F$304,F154,$J$5:$J$304,"&gt;"&amp;J154)&gt;0,"Superseded",IF(COUNTIFS($C$5:$C$304,C154,$F$5:$F$304,F154,$R$5:$R$304,"&gt;="&amp;J154)&gt;0,"Decertified",IF(K154&lt;TODAY(),"Expired","Active"))))))</f>
        <v/>
      </c>
      <c r="V154" s="37"/>
      <c r="W154" s="12"/>
    </row>
    <row r="155" customFormat="false" ht="15" hidden="false" customHeight="false" outlineLevel="0" collapsed="false">
      <c r="A155" s="37"/>
      <c r="B155" s="38"/>
      <c r="C155" s="37"/>
      <c r="D155" s="31" t="str">
        <f aca="false">IF($C155="","",IFERROR(INDEX(Employee_Master!$B$5:$B$104,MATCH($C155,Employee_Master!$A$5:$A$104,0)),"ID not found"))</f>
        <v/>
      </c>
      <c r="E155" s="31" t="str">
        <f aca="false">IF($C155="","",IFERROR(INDEX(Employee_Master!$C$5:$C$104,MATCH($C155,Employee_Master!$A$5:$A$104,0)),"ID not found"))</f>
        <v/>
      </c>
      <c r="F155" s="37"/>
      <c r="G155" s="37"/>
      <c r="H155" s="37"/>
      <c r="I155" s="39"/>
      <c r="J155" s="38"/>
      <c r="K155" s="40" t="str">
        <f aca="false">IF(J155="","",EDATE(J155,Reference_Data!$AL$5))</f>
        <v/>
      </c>
      <c r="L155" s="37"/>
      <c r="M155" s="12"/>
      <c r="N155" s="41"/>
      <c r="O155" s="37"/>
      <c r="P155" s="31" t="str">
        <f aca="false">IF(O155="","",IFERROR(INDEX(Reference_Data!$J$5:$J$14,MATCH(O155,Reference_Data!$H$5:$H$14,0)),""))</f>
        <v/>
      </c>
      <c r="Q155" s="37"/>
      <c r="R155" s="38"/>
      <c r="S155" s="12"/>
      <c r="T155" s="40" t="str">
        <f aca="false">IF(R155="","",R155+Reference_Data!$AL$6)</f>
        <v/>
      </c>
      <c r="U155" s="31" t="str">
        <f aca="true">IF(C155="","",IF(Q155="Yes","Decertification Record",IF(J155="","—",IF(COUNTIFS($C$5:$C$304,C155,$F$5:$F$304,F155,$J$5:$J$304,"&gt;"&amp;J155)&gt;0,"Superseded",IF(COUNTIFS($C$5:$C$304,C155,$F$5:$F$304,F155,$R$5:$R$304,"&gt;="&amp;J155)&gt;0,"Decertified",IF(K155&lt;TODAY(),"Expired","Active"))))))</f>
        <v/>
      </c>
      <c r="V155" s="37"/>
      <c r="W155" s="12"/>
    </row>
    <row r="156" customFormat="false" ht="15" hidden="false" customHeight="false" outlineLevel="0" collapsed="false">
      <c r="A156" s="37"/>
      <c r="B156" s="38"/>
      <c r="C156" s="37"/>
      <c r="D156" s="31" t="str">
        <f aca="false">IF($C156="","",IFERROR(INDEX(Employee_Master!$B$5:$B$104,MATCH($C156,Employee_Master!$A$5:$A$104,0)),"ID not found"))</f>
        <v/>
      </c>
      <c r="E156" s="31" t="str">
        <f aca="false">IF($C156="","",IFERROR(INDEX(Employee_Master!$C$5:$C$104,MATCH($C156,Employee_Master!$A$5:$A$104,0)),"ID not found"))</f>
        <v/>
      </c>
      <c r="F156" s="37"/>
      <c r="G156" s="37"/>
      <c r="H156" s="37"/>
      <c r="I156" s="39"/>
      <c r="J156" s="38"/>
      <c r="K156" s="40" t="str">
        <f aca="false">IF(J156="","",EDATE(J156,Reference_Data!$AL$5))</f>
        <v/>
      </c>
      <c r="L156" s="37"/>
      <c r="M156" s="12"/>
      <c r="N156" s="41"/>
      <c r="O156" s="37"/>
      <c r="P156" s="31" t="str">
        <f aca="false">IF(O156="","",IFERROR(INDEX(Reference_Data!$J$5:$J$14,MATCH(O156,Reference_Data!$H$5:$H$14,0)),""))</f>
        <v/>
      </c>
      <c r="Q156" s="37"/>
      <c r="R156" s="38"/>
      <c r="S156" s="12"/>
      <c r="T156" s="40" t="str">
        <f aca="false">IF(R156="","",R156+Reference_Data!$AL$6)</f>
        <v/>
      </c>
      <c r="U156" s="31" t="str">
        <f aca="true">IF(C156="","",IF(Q156="Yes","Decertification Record",IF(J156="","—",IF(COUNTIFS($C$5:$C$304,C156,$F$5:$F$304,F156,$J$5:$J$304,"&gt;"&amp;J156)&gt;0,"Superseded",IF(COUNTIFS($C$5:$C$304,C156,$F$5:$F$304,F156,$R$5:$R$304,"&gt;="&amp;J156)&gt;0,"Decertified",IF(K156&lt;TODAY(),"Expired","Active"))))))</f>
        <v/>
      </c>
      <c r="V156" s="37"/>
      <c r="W156" s="12"/>
    </row>
    <row r="157" customFormat="false" ht="15" hidden="false" customHeight="false" outlineLevel="0" collapsed="false">
      <c r="A157" s="37"/>
      <c r="B157" s="38"/>
      <c r="C157" s="37"/>
      <c r="D157" s="31" t="str">
        <f aca="false">IF($C157="","",IFERROR(INDEX(Employee_Master!$B$5:$B$104,MATCH($C157,Employee_Master!$A$5:$A$104,0)),"ID not found"))</f>
        <v/>
      </c>
      <c r="E157" s="31" t="str">
        <f aca="false">IF($C157="","",IFERROR(INDEX(Employee_Master!$C$5:$C$104,MATCH($C157,Employee_Master!$A$5:$A$104,0)),"ID not found"))</f>
        <v/>
      </c>
      <c r="F157" s="37"/>
      <c r="G157" s="37"/>
      <c r="H157" s="37"/>
      <c r="I157" s="39"/>
      <c r="J157" s="38"/>
      <c r="K157" s="40" t="str">
        <f aca="false">IF(J157="","",EDATE(J157,Reference_Data!$AL$5))</f>
        <v/>
      </c>
      <c r="L157" s="37"/>
      <c r="M157" s="12"/>
      <c r="N157" s="41"/>
      <c r="O157" s="37"/>
      <c r="P157" s="31" t="str">
        <f aca="false">IF(O157="","",IFERROR(INDEX(Reference_Data!$J$5:$J$14,MATCH(O157,Reference_Data!$H$5:$H$14,0)),""))</f>
        <v/>
      </c>
      <c r="Q157" s="37"/>
      <c r="R157" s="38"/>
      <c r="S157" s="12"/>
      <c r="T157" s="40" t="str">
        <f aca="false">IF(R157="","",R157+Reference_Data!$AL$6)</f>
        <v/>
      </c>
      <c r="U157" s="31" t="str">
        <f aca="true">IF(C157="","",IF(Q157="Yes","Decertification Record",IF(J157="","—",IF(COUNTIFS($C$5:$C$304,C157,$F$5:$F$304,F157,$J$5:$J$304,"&gt;"&amp;J157)&gt;0,"Superseded",IF(COUNTIFS($C$5:$C$304,C157,$F$5:$F$304,F157,$R$5:$R$304,"&gt;="&amp;J157)&gt;0,"Decertified",IF(K157&lt;TODAY(),"Expired","Active"))))))</f>
        <v/>
      </c>
      <c r="V157" s="37"/>
      <c r="W157" s="12"/>
    </row>
    <row r="158" customFormat="false" ht="15" hidden="false" customHeight="false" outlineLevel="0" collapsed="false">
      <c r="A158" s="37"/>
      <c r="B158" s="38"/>
      <c r="C158" s="37"/>
      <c r="D158" s="31" t="str">
        <f aca="false">IF($C158="","",IFERROR(INDEX(Employee_Master!$B$5:$B$104,MATCH($C158,Employee_Master!$A$5:$A$104,0)),"ID not found"))</f>
        <v/>
      </c>
      <c r="E158" s="31" t="str">
        <f aca="false">IF($C158="","",IFERROR(INDEX(Employee_Master!$C$5:$C$104,MATCH($C158,Employee_Master!$A$5:$A$104,0)),"ID not found"))</f>
        <v/>
      </c>
      <c r="F158" s="37"/>
      <c r="G158" s="37"/>
      <c r="H158" s="37"/>
      <c r="I158" s="39"/>
      <c r="J158" s="38"/>
      <c r="K158" s="40" t="str">
        <f aca="false">IF(J158="","",EDATE(J158,Reference_Data!$AL$5))</f>
        <v/>
      </c>
      <c r="L158" s="37"/>
      <c r="M158" s="12"/>
      <c r="N158" s="41"/>
      <c r="O158" s="37"/>
      <c r="P158" s="31" t="str">
        <f aca="false">IF(O158="","",IFERROR(INDEX(Reference_Data!$J$5:$J$14,MATCH(O158,Reference_Data!$H$5:$H$14,0)),""))</f>
        <v/>
      </c>
      <c r="Q158" s="37"/>
      <c r="R158" s="38"/>
      <c r="S158" s="12"/>
      <c r="T158" s="40" t="str">
        <f aca="false">IF(R158="","",R158+Reference_Data!$AL$6)</f>
        <v/>
      </c>
      <c r="U158" s="31" t="str">
        <f aca="true">IF(C158="","",IF(Q158="Yes","Decertification Record",IF(J158="","—",IF(COUNTIFS($C$5:$C$304,C158,$F$5:$F$304,F158,$J$5:$J$304,"&gt;"&amp;J158)&gt;0,"Superseded",IF(COUNTIFS($C$5:$C$304,C158,$F$5:$F$304,F158,$R$5:$R$304,"&gt;="&amp;J158)&gt;0,"Decertified",IF(K158&lt;TODAY(),"Expired","Active"))))))</f>
        <v/>
      </c>
      <c r="V158" s="37"/>
      <c r="W158" s="12"/>
    </row>
    <row r="159" customFormat="false" ht="15" hidden="false" customHeight="false" outlineLevel="0" collapsed="false">
      <c r="A159" s="37"/>
      <c r="B159" s="38"/>
      <c r="C159" s="37"/>
      <c r="D159" s="31" t="str">
        <f aca="false">IF($C159="","",IFERROR(INDEX(Employee_Master!$B$5:$B$104,MATCH($C159,Employee_Master!$A$5:$A$104,0)),"ID not found"))</f>
        <v/>
      </c>
      <c r="E159" s="31" t="str">
        <f aca="false">IF($C159="","",IFERROR(INDEX(Employee_Master!$C$5:$C$104,MATCH($C159,Employee_Master!$A$5:$A$104,0)),"ID not found"))</f>
        <v/>
      </c>
      <c r="F159" s="37"/>
      <c r="G159" s="37"/>
      <c r="H159" s="37"/>
      <c r="I159" s="39"/>
      <c r="J159" s="38"/>
      <c r="K159" s="40" t="str">
        <f aca="false">IF(J159="","",EDATE(J159,Reference_Data!$AL$5))</f>
        <v/>
      </c>
      <c r="L159" s="37"/>
      <c r="M159" s="12"/>
      <c r="N159" s="41"/>
      <c r="O159" s="37"/>
      <c r="P159" s="31" t="str">
        <f aca="false">IF(O159="","",IFERROR(INDEX(Reference_Data!$J$5:$J$14,MATCH(O159,Reference_Data!$H$5:$H$14,0)),""))</f>
        <v/>
      </c>
      <c r="Q159" s="37"/>
      <c r="R159" s="38"/>
      <c r="S159" s="12"/>
      <c r="T159" s="40" t="str">
        <f aca="false">IF(R159="","",R159+Reference_Data!$AL$6)</f>
        <v/>
      </c>
      <c r="U159" s="31" t="str">
        <f aca="true">IF(C159="","",IF(Q159="Yes","Decertification Record",IF(J159="","—",IF(COUNTIFS($C$5:$C$304,C159,$F$5:$F$304,F159,$J$5:$J$304,"&gt;"&amp;J159)&gt;0,"Superseded",IF(COUNTIFS($C$5:$C$304,C159,$F$5:$F$304,F159,$R$5:$R$304,"&gt;="&amp;J159)&gt;0,"Decertified",IF(K159&lt;TODAY(),"Expired","Active"))))))</f>
        <v/>
      </c>
      <c r="V159" s="37"/>
      <c r="W159" s="12"/>
    </row>
    <row r="160" customFormat="false" ht="15" hidden="false" customHeight="false" outlineLevel="0" collapsed="false">
      <c r="A160" s="37"/>
      <c r="B160" s="38"/>
      <c r="C160" s="37"/>
      <c r="D160" s="31" t="str">
        <f aca="false">IF($C160="","",IFERROR(INDEX(Employee_Master!$B$5:$B$104,MATCH($C160,Employee_Master!$A$5:$A$104,0)),"ID not found"))</f>
        <v/>
      </c>
      <c r="E160" s="31" t="str">
        <f aca="false">IF($C160="","",IFERROR(INDEX(Employee_Master!$C$5:$C$104,MATCH($C160,Employee_Master!$A$5:$A$104,0)),"ID not found"))</f>
        <v/>
      </c>
      <c r="F160" s="37"/>
      <c r="G160" s="37"/>
      <c r="H160" s="37"/>
      <c r="I160" s="39"/>
      <c r="J160" s="38"/>
      <c r="K160" s="40" t="str">
        <f aca="false">IF(J160="","",EDATE(J160,Reference_Data!$AL$5))</f>
        <v/>
      </c>
      <c r="L160" s="37"/>
      <c r="M160" s="12"/>
      <c r="N160" s="41"/>
      <c r="O160" s="37"/>
      <c r="P160" s="31" t="str">
        <f aca="false">IF(O160="","",IFERROR(INDEX(Reference_Data!$J$5:$J$14,MATCH(O160,Reference_Data!$H$5:$H$14,0)),""))</f>
        <v/>
      </c>
      <c r="Q160" s="37"/>
      <c r="R160" s="38"/>
      <c r="S160" s="12"/>
      <c r="T160" s="40" t="str">
        <f aca="false">IF(R160="","",R160+Reference_Data!$AL$6)</f>
        <v/>
      </c>
      <c r="U160" s="31" t="str">
        <f aca="true">IF(C160="","",IF(Q160="Yes","Decertification Record",IF(J160="","—",IF(COUNTIFS($C$5:$C$304,C160,$F$5:$F$304,F160,$J$5:$J$304,"&gt;"&amp;J160)&gt;0,"Superseded",IF(COUNTIFS($C$5:$C$304,C160,$F$5:$F$304,F160,$R$5:$R$304,"&gt;="&amp;J160)&gt;0,"Decertified",IF(K160&lt;TODAY(),"Expired","Active"))))))</f>
        <v/>
      </c>
      <c r="V160" s="37"/>
      <c r="W160" s="12"/>
    </row>
    <row r="161" customFormat="false" ht="15" hidden="false" customHeight="false" outlineLevel="0" collapsed="false">
      <c r="A161" s="37"/>
      <c r="B161" s="38"/>
      <c r="C161" s="37"/>
      <c r="D161" s="31" t="str">
        <f aca="false">IF($C161="","",IFERROR(INDEX(Employee_Master!$B$5:$B$104,MATCH($C161,Employee_Master!$A$5:$A$104,0)),"ID not found"))</f>
        <v/>
      </c>
      <c r="E161" s="31" t="str">
        <f aca="false">IF($C161="","",IFERROR(INDEX(Employee_Master!$C$5:$C$104,MATCH($C161,Employee_Master!$A$5:$A$104,0)),"ID not found"))</f>
        <v/>
      </c>
      <c r="F161" s="37"/>
      <c r="G161" s="37"/>
      <c r="H161" s="37"/>
      <c r="I161" s="39"/>
      <c r="J161" s="38"/>
      <c r="K161" s="40" t="str">
        <f aca="false">IF(J161="","",EDATE(J161,Reference_Data!$AL$5))</f>
        <v/>
      </c>
      <c r="L161" s="37"/>
      <c r="M161" s="12"/>
      <c r="N161" s="41"/>
      <c r="O161" s="37"/>
      <c r="P161" s="31" t="str">
        <f aca="false">IF(O161="","",IFERROR(INDEX(Reference_Data!$J$5:$J$14,MATCH(O161,Reference_Data!$H$5:$H$14,0)),""))</f>
        <v/>
      </c>
      <c r="Q161" s="37"/>
      <c r="R161" s="38"/>
      <c r="S161" s="12"/>
      <c r="T161" s="40" t="str">
        <f aca="false">IF(R161="","",R161+Reference_Data!$AL$6)</f>
        <v/>
      </c>
      <c r="U161" s="31" t="str">
        <f aca="true">IF(C161="","",IF(Q161="Yes","Decertification Record",IF(J161="","—",IF(COUNTIFS($C$5:$C$304,C161,$F$5:$F$304,F161,$J$5:$J$304,"&gt;"&amp;J161)&gt;0,"Superseded",IF(COUNTIFS($C$5:$C$304,C161,$F$5:$F$304,F161,$R$5:$R$304,"&gt;="&amp;J161)&gt;0,"Decertified",IF(K161&lt;TODAY(),"Expired","Active"))))))</f>
        <v/>
      </c>
      <c r="V161" s="37"/>
      <c r="W161" s="12"/>
    </row>
    <row r="162" customFormat="false" ht="15" hidden="false" customHeight="false" outlineLevel="0" collapsed="false">
      <c r="A162" s="37"/>
      <c r="B162" s="38"/>
      <c r="C162" s="37"/>
      <c r="D162" s="31" t="str">
        <f aca="false">IF($C162="","",IFERROR(INDEX(Employee_Master!$B$5:$B$104,MATCH($C162,Employee_Master!$A$5:$A$104,0)),"ID not found"))</f>
        <v/>
      </c>
      <c r="E162" s="31" t="str">
        <f aca="false">IF($C162="","",IFERROR(INDEX(Employee_Master!$C$5:$C$104,MATCH($C162,Employee_Master!$A$5:$A$104,0)),"ID not found"))</f>
        <v/>
      </c>
      <c r="F162" s="37"/>
      <c r="G162" s="37"/>
      <c r="H162" s="37"/>
      <c r="I162" s="39"/>
      <c r="J162" s="38"/>
      <c r="K162" s="40" t="str">
        <f aca="false">IF(J162="","",EDATE(J162,Reference_Data!$AL$5))</f>
        <v/>
      </c>
      <c r="L162" s="37"/>
      <c r="M162" s="12"/>
      <c r="N162" s="41"/>
      <c r="O162" s="37"/>
      <c r="P162" s="31" t="str">
        <f aca="false">IF(O162="","",IFERROR(INDEX(Reference_Data!$J$5:$J$14,MATCH(O162,Reference_Data!$H$5:$H$14,0)),""))</f>
        <v/>
      </c>
      <c r="Q162" s="37"/>
      <c r="R162" s="38"/>
      <c r="S162" s="12"/>
      <c r="T162" s="40" t="str">
        <f aca="false">IF(R162="","",R162+Reference_Data!$AL$6)</f>
        <v/>
      </c>
      <c r="U162" s="31" t="str">
        <f aca="true">IF(C162="","",IF(Q162="Yes","Decertification Record",IF(J162="","—",IF(COUNTIFS($C$5:$C$304,C162,$F$5:$F$304,F162,$J$5:$J$304,"&gt;"&amp;J162)&gt;0,"Superseded",IF(COUNTIFS($C$5:$C$304,C162,$F$5:$F$304,F162,$R$5:$R$304,"&gt;="&amp;J162)&gt;0,"Decertified",IF(K162&lt;TODAY(),"Expired","Active"))))))</f>
        <v/>
      </c>
      <c r="V162" s="37"/>
      <c r="W162" s="12"/>
    </row>
    <row r="163" customFormat="false" ht="15" hidden="false" customHeight="false" outlineLevel="0" collapsed="false">
      <c r="A163" s="37"/>
      <c r="B163" s="38"/>
      <c r="C163" s="37"/>
      <c r="D163" s="31" t="str">
        <f aca="false">IF($C163="","",IFERROR(INDEX(Employee_Master!$B$5:$B$104,MATCH($C163,Employee_Master!$A$5:$A$104,0)),"ID not found"))</f>
        <v/>
      </c>
      <c r="E163" s="31" t="str">
        <f aca="false">IF($C163="","",IFERROR(INDEX(Employee_Master!$C$5:$C$104,MATCH($C163,Employee_Master!$A$5:$A$104,0)),"ID not found"))</f>
        <v/>
      </c>
      <c r="F163" s="37"/>
      <c r="G163" s="37"/>
      <c r="H163" s="37"/>
      <c r="I163" s="39"/>
      <c r="J163" s="38"/>
      <c r="K163" s="40" t="str">
        <f aca="false">IF(J163="","",EDATE(J163,Reference_Data!$AL$5))</f>
        <v/>
      </c>
      <c r="L163" s="37"/>
      <c r="M163" s="12"/>
      <c r="N163" s="41"/>
      <c r="O163" s="37"/>
      <c r="P163" s="31" t="str">
        <f aca="false">IF(O163="","",IFERROR(INDEX(Reference_Data!$J$5:$J$14,MATCH(O163,Reference_Data!$H$5:$H$14,0)),""))</f>
        <v/>
      </c>
      <c r="Q163" s="37"/>
      <c r="R163" s="38"/>
      <c r="S163" s="12"/>
      <c r="T163" s="40" t="str">
        <f aca="false">IF(R163="","",R163+Reference_Data!$AL$6)</f>
        <v/>
      </c>
      <c r="U163" s="31" t="str">
        <f aca="true">IF(C163="","",IF(Q163="Yes","Decertification Record",IF(J163="","—",IF(COUNTIFS($C$5:$C$304,C163,$F$5:$F$304,F163,$J$5:$J$304,"&gt;"&amp;J163)&gt;0,"Superseded",IF(COUNTIFS($C$5:$C$304,C163,$F$5:$F$304,F163,$R$5:$R$304,"&gt;="&amp;J163)&gt;0,"Decertified",IF(K163&lt;TODAY(),"Expired","Active"))))))</f>
        <v/>
      </c>
      <c r="V163" s="37"/>
      <c r="W163" s="12"/>
    </row>
    <row r="164" customFormat="false" ht="15" hidden="false" customHeight="false" outlineLevel="0" collapsed="false">
      <c r="A164" s="37"/>
      <c r="B164" s="38"/>
      <c r="C164" s="37"/>
      <c r="D164" s="31" t="str">
        <f aca="false">IF($C164="","",IFERROR(INDEX(Employee_Master!$B$5:$B$104,MATCH($C164,Employee_Master!$A$5:$A$104,0)),"ID not found"))</f>
        <v/>
      </c>
      <c r="E164" s="31" t="str">
        <f aca="false">IF($C164="","",IFERROR(INDEX(Employee_Master!$C$5:$C$104,MATCH($C164,Employee_Master!$A$5:$A$104,0)),"ID not found"))</f>
        <v/>
      </c>
      <c r="F164" s="37"/>
      <c r="G164" s="37"/>
      <c r="H164" s="37"/>
      <c r="I164" s="39"/>
      <c r="J164" s="38"/>
      <c r="K164" s="40" t="str">
        <f aca="false">IF(J164="","",EDATE(J164,Reference_Data!$AL$5))</f>
        <v/>
      </c>
      <c r="L164" s="37"/>
      <c r="M164" s="12"/>
      <c r="N164" s="41"/>
      <c r="O164" s="37"/>
      <c r="P164" s="31" t="str">
        <f aca="false">IF(O164="","",IFERROR(INDEX(Reference_Data!$J$5:$J$14,MATCH(O164,Reference_Data!$H$5:$H$14,0)),""))</f>
        <v/>
      </c>
      <c r="Q164" s="37"/>
      <c r="R164" s="38"/>
      <c r="S164" s="12"/>
      <c r="T164" s="40" t="str">
        <f aca="false">IF(R164="","",R164+Reference_Data!$AL$6)</f>
        <v/>
      </c>
      <c r="U164" s="31" t="str">
        <f aca="true">IF(C164="","",IF(Q164="Yes","Decertification Record",IF(J164="","—",IF(COUNTIFS($C$5:$C$304,C164,$F$5:$F$304,F164,$J$5:$J$304,"&gt;"&amp;J164)&gt;0,"Superseded",IF(COUNTIFS($C$5:$C$304,C164,$F$5:$F$304,F164,$R$5:$R$304,"&gt;="&amp;J164)&gt;0,"Decertified",IF(K164&lt;TODAY(),"Expired","Active"))))))</f>
        <v/>
      </c>
      <c r="V164" s="37"/>
      <c r="W164" s="12"/>
    </row>
    <row r="165" customFormat="false" ht="15" hidden="false" customHeight="false" outlineLevel="0" collapsed="false">
      <c r="A165" s="37"/>
      <c r="B165" s="38"/>
      <c r="C165" s="37"/>
      <c r="D165" s="31" t="str">
        <f aca="false">IF($C165="","",IFERROR(INDEX(Employee_Master!$B$5:$B$104,MATCH($C165,Employee_Master!$A$5:$A$104,0)),"ID not found"))</f>
        <v/>
      </c>
      <c r="E165" s="31" t="str">
        <f aca="false">IF($C165="","",IFERROR(INDEX(Employee_Master!$C$5:$C$104,MATCH($C165,Employee_Master!$A$5:$A$104,0)),"ID not found"))</f>
        <v/>
      </c>
      <c r="F165" s="37"/>
      <c r="G165" s="37"/>
      <c r="H165" s="37"/>
      <c r="I165" s="39"/>
      <c r="J165" s="38"/>
      <c r="K165" s="40" t="str">
        <f aca="false">IF(J165="","",EDATE(J165,Reference_Data!$AL$5))</f>
        <v/>
      </c>
      <c r="L165" s="37"/>
      <c r="M165" s="12"/>
      <c r="N165" s="41"/>
      <c r="O165" s="37"/>
      <c r="P165" s="31" t="str">
        <f aca="false">IF(O165="","",IFERROR(INDEX(Reference_Data!$J$5:$J$14,MATCH(O165,Reference_Data!$H$5:$H$14,0)),""))</f>
        <v/>
      </c>
      <c r="Q165" s="37"/>
      <c r="R165" s="38"/>
      <c r="S165" s="12"/>
      <c r="T165" s="40" t="str">
        <f aca="false">IF(R165="","",R165+Reference_Data!$AL$6)</f>
        <v/>
      </c>
      <c r="U165" s="31" t="str">
        <f aca="true">IF(C165="","",IF(Q165="Yes","Decertification Record",IF(J165="","—",IF(COUNTIFS($C$5:$C$304,C165,$F$5:$F$304,F165,$J$5:$J$304,"&gt;"&amp;J165)&gt;0,"Superseded",IF(COUNTIFS($C$5:$C$304,C165,$F$5:$F$304,F165,$R$5:$R$304,"&gt;="&amp;J165)&gt;0,"Decertified",IF(K165&lt;TODAY(),"Expired","Active"))))))</f>
        <v/>
      </c>
      <c r="V165" s="37"/>
      <c r="W165" s="12"/>
    </row>
    <row r="166" customFormat="false" ht="15" hidden="false" customHeight="false" outlineLevel="0" collapsed="false">
      <c r="A166" s="37"/>
      <c r="B166" s="38"/>
      <c r="C166" s="37"/>
      <c r="D166" s="31" t="str">
        <f aca="false">IF($C166="","",IFERROR(INDEX(Employee_Master!$B$5:$B$104,MATCH($C166,Employee_Master!$A$5:$A$104,0)),"ID not found"))</f>
        <v/>
      </c>
      <c r="E166" s="31" t="str">
        <f aca="false">IF($C166="","",IFERROR(INDEX(Employee_Master!$C$5:$C$104,MATCH($C166,Employee_Master!$A$5:$A$104,0)),"ID not found"))</f>
        <v/>
      </c>
      <c r="F166" s="37"/>
      <c r="G166" s="37"/>
      <c r="H166" s="37"/>
      <c r="I166" s="39"/>
      <c r="J166" s="38"/>
      <c r="K166" s="40" t="str">
        <f aca="false">IF(J166="","",EDATE(J166,Reference_Data!$AL$5))</f>
        <v/>
      </c>
      <c r="L166" s="37"/>
      <c r="M166" s="12"/>
      <c r="N166" s="41"/>
      <c r="O166" s="37"/>
      <c r="P166" s="31" t="str">
        <f aca="false">IF(O166="","",IFERROR(INDEX(Reference_Data!$J$5:$J$14,MATCH(O166,Reference_Data!$H$5:$H$14,0)),""))</f>
        <v/>
      </c>
      <c r="Q166" s="37"/>
      <c r="R166" s="38"/>
      <c r="S166" s="12"/>
      <c r="T166" s="40" t="str">
        <f aca="false">IF(R166="","",R166+Reference_Data!$AL$6)</f>
        <v/>
      </c>
      <c r="U166" s="31" t="str">
        <f aca="true">IF(C166="","",IF(Q166="Yes","Decertification Record",IF(J166="","—",IF(COUNTIFS($C$5:$C$304,C166,$F$5:$F$304,F166,$J$5:$J$304,"&gt;"&amp;J166)&gt;0,"Superseded",IF(COUNTIFS($C$5:$C$304,C166,$F$5:$F$304,F166,$R$5:$R$304,"&gt;="&amp;J166)&gt;0,"Decertified",IF(K166&lt;TODAY(),"Expired","Active"))))))</f>
        <v/>
      </c>
      <c r="V166" s="37"/>
      <c r="W166" s="12"/>
    </row>
    <row r="167" customFormat="false" ht="15" hidden="false" customHeight="false" outlineLevel="0" collapsed="false">
      <c r="A167" s="37"/>
      <c r="B167" s="38"/>
      <c r="C167" s="37"/>
      <c r="D167" s="31" t="str">
        <f aca="false">IF($C167="","",IFERROR(INDEX(Employee_Master!$B$5:$B$104,MATCH($C167,Employee_Master!$A$5:$A$104,0)),"ID not found"))</f>
        <v/>
      </c>
      <c r="E167" s="31" t="str">
        <f aca="false">IF($C167="","",IFERROR(INDEX(Employee_Master!$C$5:$C$104,MATCH($C167,Employee_Master!$A$5:$A$104,0)),"ID not found"))</f>
        <v/>
      </c>
      <c r="F167" s="37"/>
      <c r="G167" s="37"/>
      <c r="H167" s="37"/>
      <c r="I167" s="39"/>
      <c r="J167" s="38"/>
      <c r="K167" s="40" t="str">
        <f aca="false">IF(J167="","",EDATE(J167,Reference_Data!$AL$5))</f>
        <v/>
      </c>
      <c r="L167" s="37"/>
      <c r="M167" s="12"/>
      <c r="N167" s="41"/>
      <c r="O167" s="37"/>
      <c r="P167" s="31" t="str">
        <f aca="false">IF(O167="","",IFERROR(INDEX(Reference_Data!$J$5:$J$14,MATCH(O167,Reference_Data!$H$5:$H$14,0)),""))</f>
        <v/>
      </c>
      <c r="Q167" s="37"/>
      <c r="R167" s="38"/>
      <c r="S167" s="12"/>
      <c r="T167" s="40" t="str">
        <f aca="false">IF(R167="","",R167+Reference_Data!$AL$6)</f>
        <v/>
      </c>
      <c r="U167" s="31" t="str">
        <f aca="true">IF(C167="","",IF(Q167="Yes","Decertification Record",IF(J167="","—",IF(COUNTIFS($C$5:$C$304,C167,$F$5:$F$304,F167,$J$5:$J$304,"&gt;"&amp;J167)&gt;0,"Superseded",IF(COUNTIFS($C$5:$C$304,C167,$F$5:$F$304,F167,$R$5:$R$304,"&gt;="&amp;J167)&gt;0,"Decertified",IF(K167&lt;TODAY(),"Expired","Active"))))))</f>
        <v/>
      </c>
      <c r="V167" s="37"/>
      <c r="W167" s="12"/>
    </row>
    <row r="168" customFormat="false" ht="15" hidden="false" customHeight="false" outlineLevel="0" collapsed="false">
      <c r="A168" s="37"/>
      <c r="B168" s="38"/>
      <c r="C168" s="37"/>
      <c r="D168" s="31" t="str">
        <f aca="false">IF($C168="","",IFERROR(INDEX(Employee_Master!$B$5:$B$104,MATCH($C168,Employee_Master!$A$5:$A$104,0)),"ID not found"))</f>
        <v/>
      </c>
      <c r="E168" s="31" t="str">
        <f aca="false">IF($C168="","",IFERROR(INDEX(Employee_Master!$C$5:$C$104,MATCH($C168,Employee_Master!$A$5:$A$104,0)),"ID not found"))</f>
        <v/>
      </c>
      <c r="F168" s="37"/>
      <c r="G168" s="37"/>
      <c r="H168" s="37"/>
      <c r="I168" s="39"/>
      <c r="J168" s="38"/>
      <c r="K168" s="40" t="str">
        <f aca="false">IF(J168="","",EDATE(J168,Reference_Data!$AL$5))</f>
        <v/>
      </c>
      <c r="L168" s="37"/>
      <c r="M168" s="12"/>
      <c r="N168" s="41"/>
      <c r="O168" s="37"/>
      <c r="P168" s="31" t="str">
        <f aca="false">IF(O168="","",IFERROR(INDEX(Reference_Data!$J$5:$J$14,MATCH(O168,Reference_Data!$H$5:$H$14,0)),""))</f>
        <v/>
      </c>
      <c r="Q168" s="37"/>
      <c r="R168" s="38"/>
      <c r="S168" s="12"/>
      <c r="T168" s="40" t="str">
        <f aca="false">IF(R168="","",R168+Reference_Data!$AL$6)</f>
        <v/>
      </c>
      <c r="U168" s="31" t="str">
        <f aca="true">IF(C168="","",IF(Q168="Yes","Decertification Record",IF(J168="","—",IF(COUNTIFS($C$5:$C$304,C168,$F$5:$F$304,F168,$J$5:$J$304,"&gt;"&amp;J168)&gt;0,"Superseded",IF(COUNTIFS($C$5:$C$304,C168,$F$5:$F$304,F168,$R$5:$R$304,"&gt;="&amp;J168)&gt;0,"Decertified",IF(K168&lt;TODAY(),"Expired","Active"))))))</f>
        <v/>
      </c>
      <c r="V168" s="37"/>
      <c r="W168" s="12"/>
    </row>
    <row r="169" customFormat="false" ht="15" hidden="false" customHeight="false" outlineLevel="0" collapsed="false">
      <c r="A169" s="37"/>
      <c r="B169" s="38"/>
      <c r="C169" s="37"/>
      <c r="D169" s="31" t="str">
        <f aca="false">IF($C169="","",IFERROR(INDEX(Employee_Master!$B$5:$B$104,MATCH($C169,Employee_Master!$A$5:$A$104,0)),"ID not found"))</f>
        <v/>
      </c>
      <c r="E169" s="31" t="str">
        <f aca="false">IF($C169="","",IFERROR(INDEX(Employee_Master!$C$5:$C$104,MATCH($C169,Employee_Master!$A$5:$A$104,0)),"ID not found"))</f>
        <v/>
      </c>
      <c r="F169" s="37"/>
      <c r="G169" s="37"/>
      <c r="H169" s="37"/>
      <c r="I169" s="39"/>
      <c r="J169" s="38"/>
      <c r="K169" s="40" t="str">
        <f aca="false">IF(J169="","",EDATE(J169,Reference_Data!$AL$5))</f>
        <v/>
      </c>
      <c r="L169" s="37"/>
      <c r="M169" s="12"/>
      <c r="N169" s="41"/>
      <c r="O169" s="37"/>
      <c r="P169" s="31" t="str">
        <f aca="false">IF(O169="","",IFERROR(INDEX(Reference_Data!$J$5:$J$14,MATCH(O169,Reference_Data!$H$5:$H$14,0)),""))</f>
        <v/>
      </c>
      <c r="Q169" s="37"/>
      <c r="R169" s="38"/>
      <c r="S169" s="12"/>
      <c r="T169" s="40" t="str">
        <f aca="false">IF(R169="","",R169+Reference_Data!$AL$6)</f>
        <v/>
      </c>
      <c r="U169" s="31" t="str">
        <f aca="true">IF(C169="","",IF(Q169="Yes","Decertification Record",IF(J169="","—",IF(COUNTIFS($C$5:$C$304,C169,$F$5:$F$304,F169,$J$5:$J$304,"&gt;"&amp;J169)&gt;0,"Superseded",IF(COUNTIFS($C$5:$C$304,C169,$F$5:$F$304,F169,$R$5:$R$304,"&gt;="&amp;J169)&gt;0,"Decertified",IF(K169&lt;TODAY(),"Expired","Active"))))))</f>
        <v/>
      </c>
      <c r="V169" s="37"/>
      <c r="W169" s="12"/>
    </row>
    <row r="170" customFormat="false" ht="15" hidden="false" customHeight="false" outlineLevel="0" collapsed="false">
      <c r="A170" s="37"/>
      <c r="B170" s="38"/>
      <c r="C170" s="37"/>
      <c r="D170" s="31" t="str">
        <f aca="false">IF($C170="","",IFERROR(INDEX(Employee_Master!$B$5:$B$104,MATCH($C170,Employee_Master!$A$5:$A$104,0)),"ID not found"))</f>
        <v/>
      </c>
      <c r="E170" s="31" t="str">
        <f aca="false">IF($C170="","",IFERROR(INDEX(Employee_Master!$C$5:$C$104,MATCH($C170,Employee_Master!$A$5:$A$104,0)),"ID not found"))</f>
        <v/>
      </c>
      <c r="F170" s="37"/>
      <c r="G170" s="37"/>
      <c r="H170" s="37"/>
      <c r="I170" s="39"/>
      <c r="J170" s="38"/>
      <c r="K170" s="40" t="str">
        <f aca="false">IF(J170="","",EDATE(J170,Reference_Data!$AL$5))</f>
        <v/>
      </c>
      <c r="L170" s="37"/>
      <c r="M170" s="12"/>
      <c r="N170" s="41"/>
      <c r="O170" s="37"/>
      <c r="P170" s="31" t="str">
        <f aca="false">IF(O170="","",IFERROR(INDEX(Reference_Data!$J$5:$J$14,MATCH(O170,Reference_Data!$H$5:$H$14,0)),""))</f>
        <v/>
      </c>
      <c r="Q170" s="37"/>
      <c r="R170" s="38"/>
      <c r="S170" s="12"/>
      <c r="T170" s="40" t="str">
        <f aca="false">IF(R170="","",R170+Reference_Data!$AL$6)</f>
        <v/>
      </c>
      <c r="U170" s="31" t="str">
        <f aca="true">IF(C170="","",IF(Q170="Yes","Decertification Record",IF(J170="","—",IF(COUNTIFS($C$5:$C$304,C170,$F$5:$F$304,F170,$J$5:$J$304,"&gt;"&amp;J170)&gt;0,"Superseded",IF(COUNTIFS($C$5:$C$304,C170,$F$5:$F$304,F170,$R$5:$R$304,"&gt;="&amp;J170)&gt;0,"Decertified",IF(K170&lt;TODAY(),"Expired","Active"))))))</f>
        <v/>
      </c>
      <c r="V170" s="37"/>
      <c r="W170" s="12"/>
    </row>
    <row r="171" customFormat="false" ht="15" hidden="false" customHeight="false" outlineLevel="0" collapsed="false">
      <c r="A171" s="37"/>
      <c r="B171" s="38"/>
      <c r="C171" s="37"/>
      <c r="D171" s="31" t="str">
        <f aca="false">IF($C171="","",IFERROR(INDEX(Employee_Master!$B$5:$B$104,MATCH($C171,Employee_Master!$A$5:$A$104,0)),"ID not found"))</f>
        <v/>
      </c>
      <c r="E171" s="31" t="str">
        <f aca="false">IF($C171="","",IFERROR(INDEX(Employee_Master!$C$5:$C$104,MATCH($C171,Employee_Master!$A$5:$A$104,0)),"ID not found"))</f>
        <v/>
      </c>
      <c r="F171" s="37"/>
      <c r="G171" s="37"/>
      <c r="H171" s="37"/>
      <c r="I171" s="39"/>
      <c r="J171" s="38"/>
      <c r="K171" s="40" t="str">
        <f aca="false">IF(J171="","",EDATE(J171,Reference_Data!$AL$5))</f>
        <v/>
      </c>
      <c r="L171" s="37"/>
      <c r="M171" s="12"/>
      <c r="N171" s="41"/>
      <c r="O171" s="37"/>
      <c r="P171" s="31" t="str">
        <f aca="false">IF(O171="","",IFERROR(INDEX(Reference_Data!$J$5:$J$14,MATCH(O171,Reference_Data!$H$5:$H$14,0)),""))</f>
        <v/>
      </c>
      <c r="Q171" s="37"/>
      <c r="R171" s="38"/>
      <c r="S171" s="12"/>
      <c r="T171" s="40" t="str">
        <f aca="false">IF(R171="","",R171+Reference_Data!$AL$6)</f>
        <v/>
      </c>
      <c r="U171" s="31" t="str">
        <f aca="true">IF(C171="","",IF(Q171="Yes","Decertification Record",IF(J171="","—",IF(COUNTIFS($C$5:$C$304,C171,$F$5:$F$304,F171,$J$5:$J$304,"&gt;"&amp;J171)&gt;0,"Superseded",IF(COUNTIFS($C$5:$C$304,C171,$F$5:$F$304,F171,$R$5:$R$304,"&gt;="&amp;J171)&gt;0,"Decertified",IF(K171&lt;TODAY(),"Expired","Active"))))))</f>
        <v/>
      </c>
      <c r="V171" s="37"/>
      <c r="W171" s="12"/>
    </row>
    <row r="172" customFormat="false" ht="15" hidden="false" customHeight="false" outlineLevel="0" collapsed="false">
      <c r="A172" s="37"/>
      <c r="B172" s="38"/>
      <c r="C172" s="37"/>
      <c r="D172" s="31" t="str">
        <f aca="false">IF($C172="","",IFERROR(INDEX(Employee_Master!$B$5:$B$104,MATCH($C172,Employee_Master!$A$5:$A$104,0)),"ID not found"))</f>
        <v/>
      </c>
      <c r="E172" s="31" t="str">
        <f aca="false">IF($C172="","",IFERROR(INDEX(Employee_Master!$C$5:$C$104,MATCH($C172,Employee_Master!$A$5:$A$104,0)),"ID not found"))</f>
        <v/>
      </c>
      <c r="F172" s="37"/>
      <c r="G172" s="37"/>
      <c r="H172" s="37"/>
      <c r="I172" s="39"/>
      <c r="J172" s="38"/>
      <c r="K172" s="40" t="str">
        <f aca="false">IF(J172="","",EDATE(J172,Reference_Data!$AL$5))</f>
        <v/>
      </c>
      <c r="L172" s="37"/>
      <c r="M172" s="12"/>
      <c r="N172" s="41"/>
      <c r="O172" s="37"/>
      <c r="P172" s="31" t="str">
        <f aca="false">IF(O172="","",IFERROR(INDEX(Reference_Data!$J$5:$J$14,MATCH(O172,Reference_Data!$H$5:$H$14,0)),""))</f>
        <v/>
      </c>
      <c r="Q172" s="37"/>
      <c r="R172" s="38"/>
      <c r="S172" s="12"/>
      <c r="T172" s="40" t="str">
        <f aca="false">IF(R172="","",R172+Reference_Data!$AL$6)</f>
        <v/>
      </c>
      <c r="U172" s="31" t="str">
        <f aca="true">IF(C172="","",IF(Q172="Yes","Decertification Record",IF(J172="","—",IF(COUNTIFS($C$5:$C$304,C172,$F$5:$F$304,F172,$J$5:$J$304,"&gt;"&amp;J172)&gt;0,"Superseded",IF(COUNTIFS($C$5:$C$304,C172,$F$5:$F$304,F172,$R$5:$R$304,"&gt;="&amp;J172)&gt;0,"Decertified",IF(K172&lt;TODAY(),"Expired","Active"))))))</f>
        <v/>
      </c>
      <c r="V172" s="37"/>
      <c r="W172" s="12"/>
    </row>
    <row r="173" customFormat="false" ht="15" hidden="false" customHeight="false" outlineLevel="0" collapsed="false">
      <c r="A173" s="37"/>
      <c r="B173" s="38"/>
      <c r="C173" s="37"/>
      <c r="D173" s="31" t="str">
        <f aca="false">IF($C173="","",IFERROR(INDEX(Employee_Master!$B$5:$B$104,MATCH($C173,Employee_Master!$A$5:$A$104,0)),"ID not found"))</f>
        <v/>
      </c>
      <c r="E173" s="31" t="str">
        <f aca="false">IF($C173="","",IFERROR(INDEX(Employee_Master!$C$5:$C$104,MATCH($C173,Employee_Master!$A$5:$A$104,0)),"ID not found"))</f>
        <v/>
      </c>
      <c r="F173" s="37"/>
      <c r="G173" s="37"/>
      <c r="H173" s="37"/>
      <c r="I173" s="39"/>
      <c r="J173" s="38"/>
      <c r="K173" s="40" t="str">
        <f aca="false">IF(J173="","",EDATE(J173,Reference_Data!$AL$5))</f>
        <v/>
      </c>
      <c r="L173" s="37"/>
      <c r="M173" s="12"/>
      <c r="N173" s="41"/>
      <c r="O173" s="37"/>
      <c r="P173" s="31" t="str">
        <f aca="false">IF(O173="","",IFERROR(INDEX(Reference_Data!$J$5:$J$14,MATCH(O173,Reference_Data!$H$5:$H$14,0)),""))</f>
        <v/>
      </c>
      <c r="Q173" s="37"/>
      <c r="R173" s="38"/>
      <c r="S173" s="12"/>
      <c r="T173" s="40" t="str">
        <f aca="false">IF(R173="","",R173+Reference_Data!$AL$6)</f>
        <v/>
      </c>
      <c r="U173" s="31" t="str">
        <f aca="true">IF(C173="","",IF(Q173="Yes","Decertification Record",IF(J173="","—",IF(COUNTIFS($C$5:$C$304,C173,$F$5:$F$304,F173,$J$5:$J$304,"&gt;"&amp;J173)&gt;0,"Superseded",IF(COUNTIFS($C$5:$C$304,C173,$F$5:$F$304,F173,$R$5:$R$304,"&gt;="&amp;J173)&gt;0,"Decertified",IF(K173&lt;TODAY(),"Expired","Active"))))))</f>
        <v/>
      </c>
      <c r="V173" s="37"/>
      <c r="W173" s="12"/>
    </row>
    <row r="174" customFormat="false" ht="15" hidden="false" customHeight="false" outlineLevel="0" collapsed="false">
      <c r="A174" s="37"/>
      <c r="B174" s="38"/>
      <c r="C174" s="37"/>
      <c r="D174" s="31" t="str">
        <f aca="false">IF($C174="","",IFERROR(INDEX(Employee_Master!$B$5:$B$104,MATCH($C174,Employee_Master!$A$5:$A$104,0)),"ID not found"))</f>
        <v/>
      </c>
      <c r="E174" s="31" t="str">
        <f aca="false">IF($C174="","",IFERROR(INDEX(Employee_Master!$C$5:$C$104,MATCH($C174,Employee_Master!$A$5:$A$104,0)),"ID not found"))</f>
        <v/>
      </c>
      <c r="F174" s="37"/>
      <c r="G174" s="37"/>
      <c r="H174" s="37"/>
      <c r="I174" s="39"/>
      <c r="J174" s="38"/>
      <c r="K174" s="40" t="str">
        <f aca="false">IF(J174="","",EDATE(J174,Reference_Data!$AL$5))</f>
        <v/>
      </c>
      <c r="L174" s="37"/>
      <c r="M174" s="12"/>
      <c r="N174" s="41"/>
      <c r="O174" s="37"/>
      <c r="P174" s="31" t="str">
        <f aca="false">IF(O174="","",IFERROR(INDEX(Reference_Data!$J$5:$J$14,MATCH(O174,Reference_Data!$H$5:$H$14,0)),""))</f>
        <v/>
      </c>
      <c r="Q174" s="37"/>
      <c r="R174" s="38"/>
      <c r="S174" s="12"/>
      <c r="T174" s="40" t="str">
        <f aca="false">IF(R174="","",R174+Reference_Data!$AL$6)</f>
        <v/>
      </c>
      <c r="U174" s="31" t="str">
        <f aca="true">IF(C174="","",IF(Q174="Yes","Decertification Record",IF(J174="","—",IF(COUNTIFS($C$5:$C$304,C174,$F$5:$F$304,F174,$J$5:$J$304,"&gt;"&amp;J174)&gt;0,"Superseded",IF(COUNTIFS($C$5:$C$304,C174,$F$5:$F$304,F174,$R$5:$R$304,"&gt;="&amp;J174)&gt;0,"Decertified",IF(K174&lt;TODAY(),"Expired","Active"))))))</f>
        <v/>
      </c>
      <c r="V174" s="37"/>
      <c r="W174" s="12"/>
    </row>
    <row r="175" customFormat="false" ht="15" hidden="false" customHeight="false" outlineLevel="0" collapsed="false">
      <c r="A175" s="37"/>
      <c r="B175" s="38"/>
      <c r="C175" s="37"/>
      <c r="D175" s="31" t="str">
        <f aca="false">IF($C175="","",IFERROR(INDEX(Employee_Master!$B$5:$B$104,MATCH($C175,Employee_Master!$A$5:$A$104,0)),"ID not found"))</f>
        <v/>
      </c>
      <c r="E175" s="31" t="str">
        <f aca="false">IF($C175="","",IFERROR(INDEX(Employee_Master!$C$5:$C$104,MATCH($C175,Employee_Master!$A$5:$A$104,0)),"ID not found"))</f>
        <v/>
      </c>
      <c r="F175" s="37"/>
      <c r="G175" s="37"/>
      <c r="H175" s="37"/>
      <c r="I175" s="39"/>
      <c r="J175" s="38"/>
      <c r="K175" s="40" t="str">
        <f aca="false">IF(J175="","",EDATE(J175,Reference_Data!$AL$5))</f>
        <v/>
      </c>
      <c r="L175" s="37"/>
      <c r="M175" s="12"/>
      <c r="N175" s="41"/>
      <c r="O175" s="37"/>
      <c r="P175" s="31" t="str">
        <f aca="false">IF(O175="","",IFERROR(INDEX(Reference_Data!$J$5:$J$14,MATCH(O175,Reference_Data!$H$5:$H$14,0)),""))</f>
        <v/>
      </c>
      <c r="Q175" s="37"/>
      <c r="R175" s="38"/>
      <c r="S175" s="12"/>
      <c r="T175" s="40" t="str">
        <f aca="false">IF(R175="","",R175+Reference_Data!$AL$6)</f>
        <v/>
      </c>
      <c r="U175" s="31" t="str">
        <f aca="true">IF(C175="","",IF(Q175="Yes","Decertification Record",IF(J175="","—",IF(COUNTIFS($C$5:$C$304,C175,$F$5:$F$304,F175,$J$5:$J$304,"&gt;"&amp;J175)&gt;0,"Superseded",IF(COUNTIFS($C$5:$C$304,C175,$F$5:$F$304,F175,$R$5:$R$304,"&gt;="&amp;J175)&gt;0,"Decertified",IF(K175&lt;TODAY(),"Expired","Active"))))))</f>
        <v/>
      </c>
      <c r="V175" s="37"/>
      <c r="W175" s="12"/>
    </row>
    <row r="176" customFormat="false" ht="15" hidden="false" customHeight="false" outlineLevel="0" collapsed="false">
      <c r="A176" s="37"/>
      <c r="B176" s="38"/>
      <c r="C176" s="37"/>
      <c r="D176" s="31" t="str">
        <f aca="false">IF($C176="","",IFERROR(INDEX(Employee_Master!$B$5:$B$104,MATCH($C176,Employee_Master!$A$5:$A$104,0)),"ID not found"))</f>
        <v/>
      </c>
      <c r="E176" s="31" t="str">
        <f aca="false">IF($C176="","",IFERROR(INDEX(Employee_Master!$C$5:$C$104,MATCH($C176,Employee_Master!$A$5:$A$104,0)),"ID not found"))</f>
        <v/>
      </c>
      <c r="F176" s="37"/>
      <c r="G176" s="37"/>
      <c r="H176" s="37"/>
      <c r="I176" s="39"/>
      <c r="J176" s="38"/>
      <c r="K176" s="40" t="str">
        <f aca="false">IF(J176="","",EDATE(J176,Reference_Data!$AL$5))</f>
        <v/>
      </c>
      <c r="L176" s="37"/>
      <c r="M176" s="12"/>
      <c r="N176" s="41"/>
      <c r="O176" s="37"/>
      <c r="P176" s="31" t="str">
        <f aca="false">IF(O176="","",IFERROR(INDEX(Reference_Data!$J$5:$J$14,MATCH(O176,Reference_Data!$H$5:$H$14,0)),""))</f>
        <v/>
      </c>
      <c r="Q176" s="37"/>
      <c r="R176" s="38"/>
      <c r="S176" s="12"/>
      <c r="T176" s="40" t="str">
        <f aca="false">IF(R176="","",R176+Reference_Data!$AL$6)</f>
        <v/>
      </c>
      <c r="U176" s="31" t="str">
        <f aca="true">IF(C176="","",IF(Q176="Yes","Decertification Record",IF(J176="","—",IF(COUNTIFS($C$5:$C$304,C176,$F$5:$F$304,F176,$J$5:$J$304,"&gt;"&amp;J176)&gt;0,"Superseded",IF(COUNTIFS($C$5:$C$304,C176,$F$5:$F$304,F176,$R$5:$R$304,"&gt;="&amp;J176)&gt;0,"Decertified",IF(K176&lt;TODAY(),"Expired","Active"))))))</f>
        <v/>
      </c>
      <c r="V176" s="37"/>
      <c r="W176" s="12"/>
    </row>
    <row r="177" customFormat="false" ht="15" hidden="false" customHeight="false" outlineLevel="0" collapsed="false">
      <c r="A177" s="37"/>
      <c r="B177" s="38"/>
      <c r="C177" s="37"/>
      <c r="D177" s="31" t="str">
        <f aca="false">IF($C177="","",IFERROR(INDEX(Employee_Master!$B$5:$B$104,MATCH($C177,Employee_Master!$A$5:$A$104,0)),"ID not found"))</f>
        <v/>
      </c>
      <c r="E177" s="31" t="str">
        <f aca="false">IF($C177="","",IFERROR(INDEX(Employee_Master!$C$5:$C$104,MATCH($C177,Employee_Master!$A$5:$A$104,0)),"ID not found"))</f>
        <v/>
      </c>
      <c r="F177" s="37"/>
      <c r="G177" s="37"/>
      <c r="H177" s="37"/>
      <c r="I177" s="39"/>
      <c r="J177" s="38"/>
      <c r="K177" s="40" t="str">
        <f aca="false">IF(J177="","",EDATE(J177,Reference_Data!$AL$5))</f>
        <v/>
      </c>
      <c r="L177" s="37"/>
      <c r="M177" s="12"/>
      <c r="N177" s="41"/>
      <c r="O177" s="37"/>
      <c r="P177" s="31" t="str">
        <f aca="false">IF(O177="","",IFERROR(INDEX(Reference_Data!$J$5:$J$14,MATCH(O177,Reference_Data!$H$5:$H$14,0)),""))</f>
        <v/>
      </c>
      <c r="Q177" s="37"/>
      <c r="R177" s="38"/>
      <c r="S177" s="12"/>
      <c r="T177" s="40" t="str">
        <f aca="false">IF(R177="","",R177+Reference_Data!$AL$6)</f>
        <v/>
      </c>
      <c r="U177" s="31" t="str">
        <f aca="true">IF(C177="","",IF(Q177="Yes","Decertification Record",IF(J177="","—",IF(COUNTIFS($C$5:$C$304,C177,$F$5:$F$304,F177,$J$5:$J$304,"&gt;"&amp;J177)&gt;0,"Superseded",IF(COUNTIFS($C$5:$C$304,C177,$F$5:$F$304,F177,$R$5:$R$304,"&gt;="&amp;J177)&gt;0,"Decertified",IF(K177&lt;TODAY(),"Expired","Active"))))))</f>
        <v/>
      </c>
      <c r="V177" s="37"/>
      <c r="W177" s="12"/>
    </row>
    <row r="178" customFormat="false" ht="15" hidden="false" customHeight="false" outlineLevel="0" collapsed="false">
      <c r="A178" s="37"/>
      <c r="B178" s="38"/>
      <c r="C178" s="37"/>
      <c r="D178" s="31" t="str">
        <f aca="false">IF($C178="","",IFERROR(INDEX(Employee_Master!$B$5:$B$104,MATCH($C178,Employee_Master!$A$5:$A$104,0)),"ID not found"))</f>
        <v/>
      </c>
      <c r="E178" s="31" t="str">
        <f aca="false">IF($C178="","",IFERROR(INDEX(Employee_Master!$C$5:$C$104,MATCH($C178,Employee_Master!$A$5:$A$104,0)),"ID not found"))</f>
        <v/>
      </c>
      <c r="F178" s="37"/>
      <c r="G178" s="37"/>
      <c r="H178" s="37"/>
      <c r="I178" s="39"/>
      <c r="J178" s="38"/>
      <c r="K178" s="40" t="str">
        <f aca="false">IF(J178="","",EDATE(J178,Reference_Data!$AL$5))</f>
        <v/>
      </c>
      <c r="L178" s="37"/>
      <c r="M178" s="12"/>
      <c r="N178" s="41"/>
      <c r="O178" s="37"/>
      <c r="P178" s="31" t="str">
        <f aca="false">IF(O178="","",IFERROR(INDEX(Reference_Data!$J$5:$J$14,MATCH(O178,Reference_Data!$H$5:$H$14,0)),""))</f>
        <v/>
      </c>
      <c r="Q178" s="37"/>
      <c r="R178" s="38"/>
      <c r="S178" s="12"/>
      <c r="T178" s="40" t="str">
        <f aca="false">IF(R178="","",R178+Reference_Data!$AL$6)</f>
        <v/>
      </c>
      <c r="U178" s="31" t="str">
        <f aca="true">IF(C178="","",IF(Q178="Yes","Decertification Record",IF(J178="","—",IF(COUNTIFS($C$5:$C$304,C178,$F$5:$F$304,F178,$J$5:$J$304,"&gt;"&amp;J178)&gt;0,"Superseded",IF(COUNTIFS($C$5:$C$304,C178,$F$5:$F$304,F178,$R$5:$R$304,"&gt;="&amp;J178)&gt;0,"Decertified",IF(K178&lt;TODAY(),"Expired","Active"))))))</f>
        <v/>
      </c>
      <c r="V178" s="37"/>
      <c r="W178" s="12"/>
    </row>
    <row r="179" customFormat="false" ht="15" hidden="false" customHeight="false" outlineLevel="0" collapsed="false">
      <c r="A179" s="37"/>
      <c r="B179" s="38"/>
      <c r="C179" s="37"/>
      <c r="D179" s="31" t="str">
        <f aca="false">IF($C179="","",IFERROR(INDEX(Employee_Master!$B$5:$B$104,MATCH($C179,Employee_Master!$A$5:$A$104,0)),"ID not found"))</f>
        <v/>
      </c>
      <c r="E179" s="31" t="str">
        <f aca="false">IF($C179="","",IFERROR(INDEX(Employee_Master!$C$5:$C$104,MATCH($C179,Employee_Master!$A$5:$A$104,0)),"ID not found"))</f>
        <v/>
      </c>
      <c r="F179" s="37"/>
      <c r="G179" s="37"/>
      <c r="H179" s="37"/>
      <c r="I179" s="39"/>
      <c r="J179" s="38"/>
      <c r="K179" s="40" t="str">
        <f aca="false">IF(J179="","",EDATE(J179,Reference_Data!$AL$5))</f>
        <v/>
      </c>
      <c r="L179" s="37"/>
      <c r="M179" s="12"/>
      <c r="N179" s="41"/>
      <c r="O179" s="37"/>
      <c r="P179" s="31" t="str">
        <f aca="false">IF(O179="","",IFERROR(INDEX(Reference_Data!$J$5:$J$14,MATCH(O179,Reference_Data!$H$5:$H$14,0)),""))</f>
        <v/>
      </c>
      <c r="Q179" s="37"/>
      <c r="R179" s="38"/>
      <c r="S179" s="12"/>
      <c r="T179" s="40" t="str">
        <f aca="false">IF(R179="","",R179+Reference_Data!$AL$6)</f>
        <v/>
      </c>
      <c r="U179" s="31" t="str">
        <f aca="true">IF(C179="","",IF(Q179="Yes","Decertification Record",IF(J179="","—",IF(COUNTIFS($C$5:$C$304,C179,$F$5:$F$304,F179,$J$5:$J$304,"&gt;"&amp;J179)&gt;0,"Superseded",IF(COUNTIFS($C$5:$C$304,C179,$F$5:$F$304,F179,$R$5:$R$304,"&gt;="&amp;J179)&gt;0,"Decertified",IF(K179&lt;TODAY(),"Expired","Active"))))))</f>
        <v/>
      </c>
      <c r="V179" s="37"/>
      <c r="W179" s="12"/>
    </row>
    <row r="180" customFormat="false" ht="15" hidden="false" customHeight="false" outlineLevel="0" collapsed="false">
      <c r="A180" s="37"/>
      <c r="B180" s="38"/>
      <c r="C180" s="37"/>
      <c r="D180" s="31" t="str">
        <f aca="false">IF($C180="","",IFERROR(INDEX(Employee_Master!$B$5:$B$104,MATCH($C180,Employee_Master!$A$5:$A$104,0)),"ID not found"))</f>
        <v/>
      </c>
      <c r="E180" s="31" t="str">
        <f aca="false">IF($C180="","",IFERROR(INDEX(Employee_Master!$C$5:$C$104,MATCH($C180,Employee_Master!$A$5:$A$104,0)),"ID not found"))</f>
        <v/>
      </c>
      <c r="F180" s="37"/>
      <c r="G180" s="37"/>
      <c r="H180" s="37"/>
      <c r="I180" s="39"/>
      <c r="J180" s="38"/>
      <c r="K180" s="40" t="str">
        <f aca="false">IF(J180="","",EDATE(J180,Reference_Data!$AL$5))</f>
        <v/>
      </c>
      <c r="L180" s="37"/>
      <c r="M180" s="12"/>
      <c r="N180" s="41"/>
      <c r="O180" s="37"/>
      <c r="P180" s="31" t="str">
        <f aca="false">IF(O180="","",IFERROR(INDEX(Reference_Data!$J$5:$J$14,MATCH(O180,Reference_Data!$H$5:$H$14,0)),""))</f>
        <v/>
      </c>
      <c r="Q180" s="37"/>
      <c r="R180" s="38"/>
      <c r="S180" s="12"/>
      <c r="T180" s="40" t="str">
        <f aca="false">IF(R180="","",R180+Reference_Data!$AL$6)</f>
        <v/>
      </c>
      <c r="U180" s="31" t="str">
        <f aca="true">IF(C180="","",IF(Q180="Yes","Decertification Record",IF(J180="","—",IF(COUNTIFS($C$5:$C$304,C180,$F$5:$F$304,F180,$J$5:$J$304,"&gt;"&amp;J180)&gt;0,"Superseded",IF(COUNTIFS($C$5:$C$304,C180,$F$5:$F$304,F180,$R$5:$R$304,"&gt;="&amp;J180)&gt;0,"Decertified",IF(K180&lt;TODAY(),"Expired","Active"))))))</f>
        <v/>
      </c>
      <c r="V180" s="37"/>
      <c r="W180" s="12"/>
    </row>
    <row r="181" customFormat="false" ht="15" hidden="false" customHeight="false" outlineLevel="0" collapsed="false">
      <c r="A181" s="37"/>
      <c r="B181" s="38"/>
      <c r="C181" s="37"/>
      <c r="D181" s="31" t="str">
        <f aca="false">IF($C181="","",IFERROR(INDEX(Employee_Master!$B$5:$B$104,MATCH($C181,Employee_Master!$A$5:$A$104,0)),"ID not found"))</f>
        <v/>
      </c>
      <c r="E181" s="31" t="str">
        <f aca="false">IF($C181="","",IFERROR(INDEX(Employee_Master!$C$5:$C$104,MATCH($C181,Employee_Master!$A$5:$A$104,0)),"ID not found"))</f>
        <v/>
      </c>
      <c r="F181" s="37"/>
      <c r="G181" s="37"/>
      <c r="H181" s="37"/>
      <c r="I181" s="39"/>
      <c r="J181" s="38"/>
      <c r="K181" s="40" t="str">
        <f aca="false">IF(J181="","",EDATE(J181,Reference_Data!$AL$5))</f>
        <v/>
      </c>
      <c r="L181" s="37"/>
      <c r="M181" s="12"/>
      <c r="N181" s="41"/>
      <c r="O181" s="37"/>
      <c r="P181" s="31" t="str">
        <f aca="false">IF(O181="","",IFERROR(INDEX(Reference_Data!$J$5:$J$14,MATCH(O181,Reference_Data!$H$5:$H$14,0)),""))</f>
        <v/>
      </c>
      <c r="Q181" s="37"/>
      <c r="R181" s="38"/>
      <c r="S181" s="12"/>
      <c r="T181" s="40" t="str">
        <f aca="false">IF(R181="","",R181+Reference_Data!$AL$6)</f>
        <v/>
      </c>
      <c r="U181" s="31" t="str">
        <f aca="true">IF(C181="","",IF(Q181="Yes","Decertification Record",IF(J181="","—",IF(COUNTIFS($C$5:$C$304,C181,$F$5:$F$304,F181,$J$5:$J$304,"&gt;"&amp;J181)&gt;0,"Superseded",IF(COUNTIFS($C$5:$C$304,C181,$F$5:$F$304,F181,$R$5:$R$304,"&gt;="&amp;J181)&gt;0,"Decertified",IF(K181&lt;TODAY(),"Expired","Active"))))))</f>
        <v/>
      </c>
      <c r="V181" s="37"/>
      <c r="W181" s="12"/>
    </row>
    <row r="182" customFormat="false" ht="15" hidden="false" customHeight="false" outlineLevel="0" collapsed="false">
      <c r="A182" s="37"/>
      <c r="B182" s="38"/>
      <c r="C182" s="37"/>
      <c r="D182" s="31" t="str">
        <f aca="false">IF($C182="","",IFERROR(INDEX(Employee_Master!$B$5:$B$104,MATCH($C182,Employee_Master!$A$5:$A$104,0)),"ID not found"))</f>
        <v/>
      </c>
      <c r="E182" s="31" t="str">
        <f aca="false">IF($C182="","",IFERROR(INDEX(Employee_Master!$C$5:$C$104,MATCH($C182,Employee_Master!$A$5:$A$104,0)),"ID not found"))</f>
        <v/>
      </c>
      <c r="F182" s="37"/>
      <c r="G182" s="37"/>
      <c r="H182" s="37"/>
      <c r="I182" s="39"/>
      <c r="J182" s="38"/>
      <c r="K182" s="40" t="str">
        <f aca="false">IF(J182="","",EDATE(J182,Reference_Data!$AL$5))</f>
        <v/>
      </c>
      <c r="L182" s="37"/>
      <c r="M182" s="12"/>
      <c r="N182" s="41"/>
      <c r="O182" s="37"/>
      <c r="P182" s="31" t="str">
        <f aca="false">IF(O182="","",IFERROR(INDEX(Reference_Data!$J$5:$J$14,MATCH(O182,Reference_Data!$H$5:$H$14,0)),""))</f>
        <v/>
      </c>
      <c r="Q182" s="37"/>
      <c r="R182" s="38"/>
      <c r="S182" s="12"/>
      <c r="T182" s="40" t="str">
        <f aca="false">IF(R182="","",R182+Reference_Data!$AL$6)</f>
        <v/>
      </c>
      <c r="U182" s="31" t="str">
        <f aca="true">IF(C182="","",IF(Q182="Yes","Decertification Record",IF(J182="","—",IF(COUNTIFS($C$5:$C$304,C182,$F$5:$F$304,F182,$J$5:$J$304,"&gt;"&amp;J182)&gt;0,"Superseded",IF(COUNTIFS($C$5:$C$304,C182,$F$5:$F$304,F182,$R$5:$R$304,"&gt;="&amp;J182)&gt;0,"Decertified",IF(K182&lt;TODAY(),"Expired","Active"))))))</f>
        <v/>
      </c>
      <c r="V182" s="37"/>
      <c r="W182" s="12"/>
    </row>
    <row r="183" customFormat="false" ht="15" hidden="false" customHeight="false" outlineLevel="0" collapsed="false">
      <c r="A183" s="37"/>
      <c r="B183" s="38"/>
      <c r="C183" s="37"/>
      <c r="D183" s="31" t="str">
        <f aca="false">IF($C183="","",IFERROR(INDEX(Employee_Master!$B$5:$B$104,MATCH($C183,Employee_Master!$A$5:$A$104,0)),"ID not found"))</f>
        <v/>
      </c>
      <c r="E183" s="31" t="str">
        <f aca="false">IF($C183="","",IFERROR(INDEX(Employee_Master!$C$5:$C$104,MATCH($C183,Employee_Master!$A$5:$A$104,0)),"ID not found"))</f>
        <v/>
      </c>
      <c r="F183" s="37"/>
      <c r="G183" s="37"/>
      <c r="H183" s="37"/>
      <c r="I183" s="39"/>
      <c r="J183" s="38"/>
      <c r="K183" s="40" t="str">
        <f aca="false">IF(J183="","",EDATE(J183,Reference_Data!$AL$5))</f>
        <v/>
      </c>
      <c r="L183" s="37"/>
      <c r="M183" s="12"/>
      <c r="N183" s="41"/>
      <c r="O183" s="37"/>
      <c r="P183" s="31" t="str">
        <f aca="false">IF(O183="","",IFERROR(INDEX(Reference_Data!$J$5:$J$14,MATCH(O183,Reference_Data!$H$5:$H$14,0)),""))</f>
        <v/>
      </c>
      <c r="Q183" s="37"/>
      <c r="R183" s="38"/>
      <c r="S183" s="12"/>
      <c r="T183" s="40" t="str">
        <f aca="false">IF(R183="","",R183+Reference_Data!$AL$6)</f>
        <v/>
      </c>
      <c r="U183" s="31" t="str">
        <f aca="true">IF(C183="","",IF(Q183="Yes","Decertification Record",IF(J183="","—",IF(COUNTIFS($C$5:$C$304,C183,$F$5:$F$304,F183,$J$5:$J$304,"&gt;"&amp;J183)&gt;0,"Superseded",IF(COUNTIFS($C$5:$C$304,C183,$F$5:$F$304,F183,$R$5:$R$304,"&gt;="&amp;J183)&gt;0,"Decertified",IF(K183&lt;TODAY(),"Expired","Active"))))))</f>
        <v/>
      </c>
      <c r="V183" s="37"/>
      <c r="W183" s="12"/>
    </row>
    <row r="184" customFormat="false" ht="15" hidden="false" customHeight="false" outlineLevel="0" collapsed="false">
      <c r="A184" s="37"/>
      <c r="B184" s="38"/>
      <c r="C184" s="37"/>
      <c r="D184" s="31" t="str">
        <f aca="false">IF($C184="","",IFERROR(INDEX(Employee_Master!$B$5:$B$104,MATCH($C184,Employee_Master!$A$5:$A$104,0)),"ID not found"))</f>
        <v/>
      </c>
      <c r="E184" s="31" t="str">
        <f aca="false">IF($C184="","",IFERROR(INDEX(Employee_Master!$C$5:$C$104,MATCH($C184,Employee_Master!$A$5:$A$104,0)),"ID not found"))</f>
        <v/>
      </c>
      <c r="F184" s="37"/>
      <c r="G184" s="37"/>
      <c r="H184" s="37"/>
      <c r="I184" s="39"/>
      <c r="J184" s="38"/>
      <c r="K184" s="40" t="str">
        <f aca="false">IF(J184="","",EDATE(J184,Reference_Data!$AL$5))</f>
        <v/>
      </c>
      <c r="L184" s="37"/>
      <c r="M184" s="12"/>
      <c r="N184" s="41"/>
      <c r="O184" s="37"/>
      <c r="P184" s="31" t="str">
        <f aca="false">IF(O184="","",IFERROR(INDEX(Reference_Data!$J$5:$J$14,MATCH(O184,Reference_Data!$H$5:$H$14,0)),""))</f>
        <v/>
      </c>
      <c r="Q184" s="37"/>
      <c r="R184" s="38"/>
      <c r="S184" s="12"/>
      <c r="T184" s="40" t="str">
        <f aca="false">IF(R184="","",R184+Reference_Data!$AL$6)</f>
        <v/>
      </c>
      <c r="U184" s="31" t="str">
        <f aca="true">IF(C184="","",IF(Q184="Yes","Decertification Record",IF(J184="","—",IF(COUNTIFS($C$5:$C$304,C184,$F$5:$F$304,F184,$J$5:$J$304,"&gt;"&amp;J184)&gt;0,"Superseded",IF(COUNTIFS($C$5:$C$304,C184,$F$5:$F$304,F184,$R$5:$R$304,"&gt;="&amp;J184)&gt;0,"Decertified",IF(K184&lt;TODAY(),"Expired","Active"))))))</f>
        <v/>
      </c>
      <c r="V184" s="37"/>
      <c r="W184" s="12"/>
    </row>
    <row r="185" customFormat="false" ht="15" hidden="false" customHeight="false" outlineLevel="0" collapsed="false">
      <c r="A185" s="37"/>
      <c r="B185" s="38"/>
      <c r="C185" s="37"/>
      <c r="D185" s="31" t="str">
        <f aca="false">IF($C185="","",IFERROR(INDEX(Employee_Master!$B$5:$B$104,MATCH($C185,Employee_Master!$A$5:$A$104,0)),"ID not found"))</f>
        <v/>
      </c>
      <c r="E185" s="31" t="str">
        <f aca="false">IF($C185="","",IFERROR(INDEX(Employee_Master!$C$5:$C$104,MATCH($C185,Employee_Master!$A$5:$A$104,0)),"ID not found"))</f>
        <v/>
      </c>
      <c r="F185" s="37"/>
      <c r="G185" s="37"/>
      <c r="H185" s="37"/>
      <c r="I185" s="39"/>
      <c r="J185" s="38"/>
      <c r="K185" s="40" t="str">
        <f aca="false">IF(J185="","",EDATE(J185,Reference_Data!$AL$5))</f>
        <v/>
      </c>
      <c r="L185" s="37"/>
      <c r="M185" s="12"/>
      <c r="N185" s="41"/>
      <c r="O185" s="37"/>
      <c r="P185" s="31" t="str">
        <f aca="false">IF(O185="","",IFERROR(INDEX(Reference_Data!$J$5:$J$14,MATCH(O185,Reference_Data!$H$5:$H$14,0)),""))</f>
        <v/>
      </c>
      <c r="Q185" s="37"/>
      <c r="R185" s="38"/>
      <c r="S185" s="12"/>
      <c r="T185" s="40" t="str">
        <f aca="false">IF(R185="","",R185+Reference_Data!$AL$6)</f>
        <v/>
      </c>
      <c r="U185" s="31" t="str">
        <f aca="true">IF(C185="","",IF(Q185="Yes","Decertification Record",IF(J185="","—",IF(COUNTIFS($C$5:$C$304,C185,$F$5:$F$304,F185,$J$5:$J$304,"&gt;"&amp;J185)&gt;0,"Superseded",IF(COUNTIFS($C$5:$C$304,C185,$F$5:$F$304,F185,$R$5:$R$304,"&gt;="&amp;J185)&gt;0,"Decertified",IF(K185&lt;TODAY(),"Expired","Active"))))))</f>
        <v/>
      </c>
      <c r="V185" s="37"/>
      <c r="W185" s="12"/>
    </row>
    <row r="186" customFormat="false" ht="15" hidden="false" customHeight="false" outlineLevel="0" collapsed="false">
      <c r="A186" s="37"/>
      <c r="B186" s="38"/>
      <c r="C186" s="37"/>
      <c r="D186" s="31" t="str">
        <f aca="false">IF($C186="","",IFERROR(INDEX(Employee_Master!$B$5:$B$104,MATCH($C186,Employee_Master!$A$5:$A$104,0)),"ID not found"))</f>
        <v/>
      </c>
      <c r="E186" s="31" t="str">
        <f aca="false">IF($C186="","",IFERROR(INDEX(Employee_Master!$C$5:$C$104,MATCH($C186,Employee_Master!$A$5:$A$104,0)),"ID not found"))</f>
        <v/>
      </c>
      <c r="F186" s="37"/>
      <c r="G186" s="37"/>
      <c r="H186" s="37"/>
      <c r="I186" s="39"/>
      <c r="J186" s="38"/>
      <c r="K186" s="40" t="str">
        <f aca="false">IF(J186="","",EDATE(J186,Reference_Data!$AL$5))</f>
        <v/>
      </c>
      <c r="L186" s="37"/>
      <c r="M186" s="12"/>
      <c r="N186" s="41"/>
      <c r="O186" s="37"/>
      <c r="P186" s="31" t="str">
        <f aca="false">IF(O186="","",IFERROR(INDEX(Reference_Data!$J$5:$J$14,MATCH(O186,Reference_Data!$H$5:$H$14,0)),""))</f>
        <v/>
      </c>
      <c r="Q186" s="37"/>
      <c r="R186" s="38"/>
      <c r="S186" s="12"/>
      <c r="T186" s="40" t="str">
        <f aca="false">IF(R186="","",R186+Reference_Data!$AL$6)</f>
        <v/>
      </c>
      <c r="U186" s="31" t="str">
        <f aca="true">IF(C186="","",IF(Q186="Yes","Decertification Record",IF(J186="","—",IF(COUNTIFS($C$5:$C$304,C186,$F$5:$F$304,F186,$J$5:$J$304,"&gt;"&amp;J186)&gt;0,"Superseded",IF(COUNTIFS($C$5:$C$304,C186,$F$5:$F$304,F186,$R$5:$R$304,"&gt;="&amp;J186)&gt;0,"Decertified",IF(K186&lt;TODAY(),"Expired","Active"))))))</f>
        <v/>
      </c>
      <c r="V186" s="37"/>
      <c r="W186" s="12"/>
    </row>
    <row r="187" customFormat="false" ht="15" hidden="false" customHeight="false" outlineLevel="0" collapsed="false">
      <c r="A187" s="37"/>
      <c r="B187" s="38"/>
      <c r="C187" s="37"/>
      <c r="D187" s="31" t="str">
        <f aca="false">IF($C187="","",IFERROR(INDEX(Employee_Master!$B$5:$B$104,MATCH($C187,Employee_Master!$A$5:$A$104,0)),"ID not found"))</f>
        <v/>
      </c>
      <c r="E187" s="31" t="str">
        <f aca="false">IF($C187="","",IFERROR(INDEX(Employee_Master!$C$5:$C$104,MATCH($C187,Employee_Master!$A$5:$A$104,0)),"ID not found"))</f>
        <v/>
      </c>
      <c r="F187" s="37"/>
      <c r="G187" s="37"/>
      <c r="H187" s="37"/>
      <c r="I187" s="39"/>
      <c r="J187" s="38"/>
      <c r="K187" s="40" t="str">
        <f aca="false">IF(J187="","",EDATE(J187,Reference_Data!$AL$5))</f>
        <v/>
      </c>
      <c r="L187" s="37"/>
      <c r="M187" s="12"/>
      <c r="N187" s="41"/>
      <c r="O187" s="37"/>
      <c r="P187" s="31" t="str">
        <f aca="false">IF(O187="","",IFERROR(INDEX(Reference_Data!$J$5:$J$14,MATCH(O187,Reference_Data!$H$5:$H$14,0)),""))</f>
        <v/>
      </c>
      <c r="Q187" s="37"/>
      <c r="R187" s="38"/>
      <c r="S187" s="12"/>
      <c r="T187" s="40" t="str">
        <f aca="false">IF(R187="","",R187+Reference_Data!$AL$6)</f>
        <v/>
      </c>
      <c r="U187" s="31" t="str">
        <f aca="true">IF(C187="","",IF(Q187="Yes","Decertification Record",IF(J187="","—",IF(COUNTIFS($C$5:$C$304,C187,$F$5:$F$304,F187,$J$5:$J$304,"&gt;"&amp;J187)&gt;0,"Superseded",IF(COUNTIFS($C$5:$C$304,C187,$F$5:$F$304,F187,$R$5:$R$304,"&gt;="&amp;J187)&gt;0,"Decertified",IF(K187&lt;TODAY(),"Expired","Active"))))))</f>
        <v/>
      </c>
      <c r="V187" s="37"/>
      <c r="W187" s="12"/>
    </row>
    <row r="188" customFormat="false" ht="15" hidden="false" customHeight="false" outlineLevel="0" collapsed="false">
      <c r="A188" s="37"/>
      <c r="B188" s="38"/>
      <c r="C188" s="37"/>
      <c r="D188" s="31" t="str">
        <f aca="false">IF($C188="","",IFERROR(INDEX(Employee_Master!$B$5:$B$104,MATCH($C188,Employee_Master!$A$5:$A$104,0)),"ID not found"))</f>
        <v/>
      </c>
      <c r="E188" s="31" t="str">
        <f aca="false">IF($C188="","",IFERROR(INDEX(Employee_Master!$C$5:$C$104,MATCH($C188,Employee_Master!$A$5:$A$104,0)),"ID not found"))</f>
        <v/>
      </c>
      <c r="F188" s="37"/>
      <c r="G188" s="37"/>
      <c r="H188" s="37"/>
      <c r="I188" s="39"/>
      <c r="J188" s="38"/>
      <c r="K188" s="40" t="str">
        <f aca="false">IF(J188="","",EDATE(J188,Reference_Data!$AL$5))</f>
        <v/>
      </c>
      <c r="L188" s="37"/>
      <c r="M188" s="12"/>
      <c r="N188" s="41"/>
      <c r="O188" s="37"/>
      <c r="P188" s="31" t="str">
        <f aca="false">IF(O188="","",IFERROR(INDEX(Reference_Data!$J$5:$J$14,MATCH(O188,Reference_Data!$H$5:$H$14,0)),""))</f>
        <v/>
      </c>
      <c r="Q188" s="37"/>
      <c r="R188" s="38"/>
      <c r="S188" s="12"/>
      <c r="T188" s="40" t="str">
        <f aca="false">IF(R188="","",R188+Reference_Data!$AL$6)</f>
        <v/>
      </c>
      <c r="U188" s="31" t="str">
        <f aca="true">IF(C188="","",IF(Q188="Yes","Decertification Record",IF(J188="","—",IF(COUNTIFS($C$5:$C$304,C188,$F$5:$F$304,F188,$J$5:$J$304,"&gt;"&amp;J188)&gt;0,"Superseded",IF(COUNTIFS($C$5:$C$304,C188,$F$5:$F$304,F188,$R$5:$R$304,"&gt;="&amp;J188)&gt;0,"Decertified",IF(K188&lt;TODAY(),"Expired","Active"))))))</f>
        <v/>
      </c>
      <c r="V188" s="37"/>
      <c r="W188" s="12"/>
    </row>
    <row r="189" customFormat="false" ht="15" hidden="false" customHeight="false" outlineLevel="0" collapsed="false">
      <c r="A189" s="37"/>
      <c r="B189" s="38"/>
      <c r="C189" s="37"/>
      <c r="D189" s="31" t="str">
        <f aca="false">IF($C189="","",IFERROR(INDEX(Employee_Master!$B$5:$B$104,MATCH($C189,Employee_Master!$A$5:$A$104,0)),"ID not found"))</f>
        <v/>
      </c>
      <c r="E189" s="31" t="str">
        <f aca="false">IF($C189="","",IFERROR(INDEX(Employee_Master!$C$5:$C$104,MATCH($C189,Employee_Master!$A$5:$A$104,0)),"ID not found"))</f>
        <v/>
      </c>
      <c r="F189" s="37"/>
      <c r="G189" s="37"/>
      <c r="H189" s="37"/>
      <c r="I189" s="39"/>
      <c r="J189" s="38"/>
      <c r="K189" s="40" t="str">
        <f aca="false">IF(J189="","",EDATE(J189,Reference_Data!$AL$5))</f>
        <v/>
      </c>
      <c r="L189" s="37"/>
      <c r="M189" s="12"/>
      <c r="N189" s="41"/>
      <c r="O189" s="37"/>
      <c r="P189" s="31" t="str">
        <f aca="false">IF(O189="","",IFERROR(INDEX(Reference_Data!$J$5:$J$14,MATCH(O189,Reference_Data!$H$5:$H$14,0)),""))</f>
        <v/>
      </c>
      <c r="Q189" s="37"/>
      <c r="R189" s="38"/>
      <c r="S189" s="12"/>
      <c r="T189" s="40" t="str">
        <f aca="false">IF(R189="","",R189+Reference_Data!$AL$6)</f>
        <v/>
      </c>
      <c r="U189" s="31" t="str">
        <f aca="true">IF(C189="","",IF(Q189="Yes","Decertification Record",IF(J189="","—",IF(COUNTIFS($C$5:$C$304,C189,$F$5:$F$304,F189,$J$5:$J$304,"&gt;"&amp;J189)&gt;0,"Superseded",IF(COUNTIFS($C$5:$C$304,C189,$F$5:$F$304,F189,$R$5:$R$304,"&gt;="&amp;J189)&gt;0,"Decertified",IF(K189&lt;TODAY(),"Expired","Active"))))))</f>
        <v/>
      </c>
      <c r="V189" s="37"/>
      <c r="W189" s="12"/>
    </row>
    <row r="190" customFormat="false" ht="15" hidden="false" customHeight="false" outlineLevel="0" collapsed="false">
      <c r="A190" s="37"/>
      <c r="B190" s="38"/>
      <c r="C190" s="37"/>
      <c r="D190" s="31" t="str">
        <f aca="false">IF($C190="","",IFERROR(INDEX(Employee_Master!$B$5:$B$104,MATCH($C190,Employee_Master!$A$5:$A$104,0)),"ID not found"))</f>
        <v/>
      </c>
      <c r="E190" s="31" t="str">
        <f aca="false">IF($C190="","",IFERROR(INDEX(Employee_Master!$C$5:$C$104,MATCH($C190,Employee_Master!$A$5:$A$104,0)),"ID not found"))</f>
        <v/>
      </c>
      <c r="F190" s="37"/>
      <c r="G190" s="37"/>
      <c r="H190" s="37"/>
      <c r="I190" s="39"/>
      <c r="J190" s="38"/>
      <c r="K190" s="40" t="str">
        <f aca="false">IF(J190="","",EDATE(J190,Reference_Data!$AL$5))</f>
        <v/>
      </c>
      <c r="L190" s="37"/>
      <c r="M190" s="12"/>
      <c r="N190" s="41"/>
      <c r="O190" s="37"/>
      <c r="P190" s="31" t="str">
        <f aca="false">IF(O190="","",IFERROR(INDEX(Reference_Data!$J$5:$J$14,MATCH(O190,Reference_Data!$H$5:$H$14,0)),""))</f>
        <v/>
      </c>
      <c r="Q190" s="37"/>
      <c r="R190" s="38"/>
      <c r="S190" s="12"/>
      <c r="T190" s="40" t="str">
        <f aca="false">IF(R190="","",R190+Reference_Data!$AL$6)</f>
        <v/>
      </c>
      <c r="U190" s="31" t="str">
        <f aca="true">IF(C190="","",IF(Q190="Yes","Decertification Record",IF(J190="","—",IF(COUNTIFS($C$5:$C$304,C190,$F$5:$F$304,F190,$J$5:$J$304,"&gt;"&amp;J190)&gt;0,"Superseded",IF(COUNTIFS($C$5:$C$304,C190,$F$5:$F$304,F190,$R$5:$R$304,"&gt;="&amp;J190)&gt;0,"Decertified",IF(K190&lt;TODAY(),"Expired","Active"))))))</f>
        <v/>
      </c>
      <c r="V190" s="37"/>
      <c r="W190" s="12"/>
    </row>
    <row r="191" customFormat="false" ht="15" hidden="false" customHeight="false" outlineLevel="0" collapsed="false">
      <c r="A191" s="37"/>
      <c r="B191" s="38"/>
      <c r="C191" s="37"/>
      <c r="D191" s="31" t="str">
        <f aca="false">IF($C191="","",IFERROR(INDEX(Employee_Master!$B$5:$B$104,MATCH($C191,Employee_Master!$A$5:$A$104,0)),"ID not found"))</f>
        <v/>
      </c>
      <c r="E191" s="31" t="str">
        <f aca="false">IF($C191="","",IFERROR(INDEX(Employee_Master!$C$5:$C$104,MATCH($C191,Employee_Master!$A$5:$A$104,0)),"ID not found"))</f>
        <v/>
      </c>
      <c r="F191" s="37"/>
      <c r="G191" s="37"/>
      <c r="H191" s="37"/>
      <c r="I191" s="39"/>
      <c r="J191" s="38"/>
      <c r="K191" s="40" t="str">
        <f aca="false">IF(J191="","",EDATE(J191,Reference_Data!$AL$5))</f>
        <v/>
      </c>
      <c r="L191" s="37"/>
      <c r="M191" s="12"/>
      <c r="N191" s="41"/>
      <c r="O191" s="37"/>
      <c r="P191" s="31" t="str">
        <f aca="false">IF(O191="","",IFERROR(INDEX(Reference_Data!$J$5:$J$14,MATCH(O191,Reference_Data!$H$5:$H$14,0)),""))</f>
        <v/>
      </c>
      <c r="Q191" s="37"/>
      <c r="R191" s="38"/>
      <c r="S191" s="12"/>
      <c r="T191" s="40" t="str">
        <f aca="false">IF(R191="","",R191+Reference_Data!$AL$6)</f>
        <v/>
      </c>
      <c r="U191" s="31" t="str">
        <f aca="true">IF(C191="","",IF(Q191="Yes","Decertification Record",IF(J191="","—",IF(COUNTIFS($C$5:$C$304,C191,$F$5:$F$304,F191,$J$5:$J$304,"&gt;"&amp;J191)&gt;0,"Superseded",IF(COUNTIFS($C$5:$C$304,C191,$F$5:$F$304,F191,$R$5:$R$304,"&gt;="&amp;J191)&gt;0,"Decertified",IF(K191&lt;TODAY(),"Expired","Active"))))))</f>
        <v/>
      </c>
      <c r="V191" s="37"/>
      <c r="W191" s="12"/>
    </row>
    <row r="192" customFormat="false" ht="15" hidden="false" customHeight="false" outlineLevel="0" collapsed="false">
      <c r="A192" s="37"/>
      <c r="B192" s="38"/>
      <c r="C192" s="37"/>
      <c r="D192" s="31" t="str">
        <f aca="false">IF($C192="","",IFERROR(INDEX(Employee_Master!$B$5:$B$104,MATCH($C192,Employee_Master!$A$5:$A$104,0)),"ID not found"))</f>
        <v/>
      </c>
      <c r="E192" s="31" t="str">
        <f aca="false">IF($C192="","",IFERROR(INDEX(Employee_Master!$C$5:$C$104,MATCH($C192,Employee_Master!$A$5:$A$104,0)),"ID not found"))</f>
        <v/>
      </c>
      <c r="F192" s="37"/>
      <c r="G192" s="37"/>
      <c r="H192" s="37"/>
      <c r="I192" s="39"/>
      <c r="J192" s="38"/>
      <c r="K192" s="40" t="str">
        <f aca="false">IF(J192="","",EDATE(J192,Reference_Data!$AL$5))</f>
        <v/>
      </c>
      <c r="L192" s="37"/>
      <c r="M192" s="12"/>
      <c r="N192" s="41"/>
      <c r="O192" s="37"/>
      <c r="P192" s="31" t="str">
        <f aca="false">IF(O192="","",IFERROR(INDEX(Reference_Data!$J$5:$J$14,MATCH(O192,Reference_Data!$H$5:$H$14,0)),""))</f>
        <v/>
      </c>
      <c r="Q192" s="37"/>
      <c r="R192" s="38"/>
      <c r="S192" s="12"/>
      <c r="T192" s="40" t="str">
        <f aca="false">IF(R192="","",R192+Reference_Data!$AL$6)</f>
        <v/>
      </c>
      <c r="U192" s="31" t="str">
        <f aca="true">IF(C192="","",IF(Q192="Yes","Decertification Record",IF(J192="","—",IF(COUNTIFS($C$5:$C$304,C192,$F$5:$F$304,F192,$J$5:$J$304,"&gt;"&amp;J192)&gt;0,"Superseded",IF(COUNTIFS($C$5:$C$304,C192,$F$5:$F$304,F192,$R$5:$R$304,"&gt;="&amp;J192)&gt;0,"Decertified",IF(K192&lt;TODAY(),"Expired","Active"))))))</f>
        <v/>
      </c>
      <c r="V192" s="37"/>
      <c r="W192" s="12"/>
    </row>
    <row r="193" customFormat="false" ht="15" hidden="false" customHeight="false" outlineLevel="0" collapsed="false">
      <c r="A193" s="37"/>
      <c r="B193" s="38"/>
      <c r="C193" s="37"/>
      <c r="D193" s="31" t="str">
        <f aca="false">IF($C193="","",IFERROR(INDEX(Employee_Master!$B$5:$B$104,MATCH($C193,Employee_Master!$A$5:$A$104,0)),"ID not found"))</f>
        <v/>
      </c>
      <c r="E193" s="31" t="str">
        <f aca="false">IF($C193="","",IFERROR(INDEX(Employee_Master!$C$5:$C$104,MATCH($C193,Employee_Master!$A$5:$A$104,0)),"ID not found"))</f>
        <v/>
      </c>
      <c r="F193" s="37"/>
      <c r="G193" s="37"/>
      <c r="H193" s="37"/>
      <c r="I193" s="39"/>
      <c r="J193" s="38"/>
      <c r="K193" s="40" t="str">
        <f aca="false">IF(J193="","",EDATE(J193,Reference_Data!$AL$5))</f>
        <v/>
      </c>
      <c r="L193" s="37"/>
      <c r="M193" s="12"/>
      <c r="N193" s="41"/>
      <c r="O193" s="37"/>
      <c r="P193" s="31" t="str">
        <f aca="false">IF(O193="","",IFERROR(INDEX(Reference_Data!$J$5:$J$14,MATCH(O193,Reference_Data!$H$5:$H$14,0)),""))</f>
        <v/>
      </c>
      <c r="Q193" s="37"/>
      <c r="R193" s="38"/>
      <c r="S193" s="12"/>
      <c r="T193" s="40" t="str">
        <f aca="false">IF(R193="","",R193+Reference_Data!$AL$6)</f>
        <v/>
      </c>
      <c r="U193" s="31" t="str">
        <f aca="true">IF(C193="","",IF(Q193="Yes","Decertification Record",IF(J193="","—",IF(COUNTIFS($C$5:$C$304,C193,$F$5:$F$304,F193,$J$5:$J$304,"&gt;"&amp;J193)&gt;0,"Superseded",IF(COUNTIFS($C$5:$C$304,C193,$F$5:$F$304,F193,$R$5:$R$304,"&gt;="&amp;J193)&gt;0,"Decertified",IF(K193&lt;TODAY(),"Expired","Active"))))))</f>
        <v/>
      </c>
      <c r="V193" s="37"/>
      <c r="W193" s="12"/>
    </row>
    <row r="194" customFormat="false" ht="15" hidden="false" customHeight="false" outlineLevel="0" collapsed="false">
      <c r="A194" s="37"/>
      <c r="B194" s="38"/>
      <c r="C194" s="37"/>
      <c r="D194" s="31" t="str">
        <f aca="false">IF($C194="","",IFERROR(INDEX(Employee_Master!$B$5:$B$104,MATCH($C194,Employee_Master!$A$5:$A$104,0)),"ID not found"))</f>
        <v/>
      </c>
      <c r="E194" s="31" t="str">
        <f aca="false">IF($C194="","",IFERROR(INDEX(Employee_Master!$C$5:$C$104,MATCH($C194,Employee_Master!$A$5:$A$104,0)),"ID not found"))</f>
        <v/>
      </c>
      <c r="F194" s="37"/>
      <c r="G194" s="37"/>
      <c r="H194" s="37"/>
      <c r="I194" s="39"/>
      <c r="J194" s="38"/>
      <c r="K194" s="40" t="str">
        <f aca="false">IF(J194="","",EDATE(J194,Reference_Data!$AL$5))</f>
        <v/>
      </c>
      <c r="L194" s="37"/>
      <c r="M194" s="12"/>
      <c r="N194" s="41"/>
      <c r="O194" s="37"/>
      <c r="P194" s="31" t="str">
        <f aca="false">IF(O194="","",IFERROR(INDEX(Reference_Data!$J$5:$J$14,MATCH(O194,Reference_Data!$H$5:$H$14,0)),""))</f>
        <v/>
      </c>
      <c r="Q194" s="37"/>
      <c r="R194" s="38"/>
      <c r="S194" s="12"/>
      <c r="T194" s="40" t="str">
        <f aca="false">IF(R194="","",R194+Reference_Data!$AL$6)</f>
        <v/>
      </c>
      <c r="U194" s="31" t="str">
        <f aca="true">IF(C194="","",IF(Q194="Yes","Decertification Record",IF(J194="","—",IF(COUNTIFS($C$5:$C$304,C194,$F$5:$F$304,F194,$J$5:$J$304,"&gt;"&amp;J194)&gt;0,"Superseded",IF(COUNTIFS($C$5:$C$304,C194,$F$5:$F$304,F194,$R$5:$R$304,"&gt;="&amp;J194)&gt;0,"Decertified",IF(K194&lt;TODAY(),"Expired","Active"))))))</f>
        <v/>
      </c>
      <c r="V194" s="37"/>
      <c r="W194" s="12"/>
    </row>
    <row r="195" customFormat="false" ht="15" hidden="false" customHeight="false" outlineLevel="0" collapsed="false">
      <c r="A195" s="37"/>
      <c r="B195" s="38"/>
      <c r="C195" s="37"/>
      <c r="D195" s="31" t="str">
        <f aca="false">IF($C195="","",IFERROR(INDEX(Employee_Master!$B$5:$B$104,MATCH($C195,Employee_Master!$A$5:$A$104,0)),"ID not found"))</f>
        <v/>
      </c>
      <c r="E195" s="31" t="str">
        <f aca="false">IF($C195="","",IFERROR(INDEX(Employee_Master!$C$5:$C$104,MATCH($C195,Employee_Master!$A$5:$A$104,0)),"ID not found"))</f>
        <v/>
      </c>
      <c r="F195" s="37"/>
      <c r="G195" s="37"/>
      <c r="H195" s="37"/>
      <c r="I195" s="39"/>
      <c r="J195" s="38"/>
      <c r="K195" s="40" t="str">
        <f aca="false">IF(J195="","",EDATE(J195,Reference_Data!$AL$5))</f>
        <v/>
      </c>
      <c r="L195" s="37"/>
      <c r="M195" s="12"/>
      <c r="N195" s="41"/>
      <c r="O195" s="37"/>
      <c r="P195" s="31" t="str">
        <f aca="false">IF(O195="","",IFERROR(INDEX(Reference_Data!$J$5:$J$14,MATCH(O195,Reference_Data!$H$5:$H$14,0)),""))</f>
        <v/>
      </c>
      <c r="Q195" s="37"/>
      <c r="R195" s="38"/>
      <c r="S195" s="12"/>
      <c r="T195" s="40" t="str">
        <f aca="false">IF(R195="","",R195+Reference_Data!$AL$6)</f>
        <v/>
      </c>
      <c r="U195" s="31" t="str">
        <f aca="true">IF(C195="","",IF(Q195="Yes","Decertification Record",IF(J195="","—",IF(COUNTIFS($C$5:$C$304,C195,$F$5:$F$304,F195,$J$5:$J$304,"&gt;"&amp;J195)&gt;0,"Superseded",IF(COUNTIFS($C$5:$C$304,C195,$F$5:$F$304,F195,$R$5:$R$304,"&gt;="&amp;J195)&gt;0,"Decertified",IF(K195&lt;TODAY(),"Expired","Active"))))))</f>
        <v/>
      </c>
      <c r="V195" s="37"/>
      <c r="W195" s="12"/>
    </row>
    <row r="196" customFormat="false" ht="15" hidden="false" customHeight="false" outlineLevel="0" collapsed="false">
      <c r="A196" s="37"/>
      <c r="B196" s="38"/>
      <c r="C196" s="37"/>
      <c r="D196" s="31" t="str">
        <f aca="false">IF($C196="","",IFERROR(INDEX(Employee_Master!$B$5:$B$104,MATCH($C196,Employee_Master!$A$5:$A$104,0)),"ID not found"))</f>
        <v/>
      </c>
      <c r="E196" s="31" t="str">
        <f aca="false">IF($C196="","",IFERROR(INDEX(Employee_Master!$C$5:$C$104,MATCH($C196,Employee_Master!$A$5:$A$104,0)),"ID not found"))</f>
        <v/>
      </c>
      <c r="F196" s="37"/>
      <c r="G196" s="37"/>
      <c r="H196" s="37"/>
      <c r="I196" s="39"/>
      <c r="J196" s="38"/>
      <c r="K196" s="40" t="str">
        <f aca="false">IF(J196="","",EDATE(J196,Reference_Data!$AL$5))</f>
        <v/>
      </c>
      <c r="L196" s="37"/>
      <c r="M196" s="12"/>
      <c r="N196" s="41"/>
      <c r="O196" s="37"/>
      <c r="P196" s="31" t="str">
        <f aca="false">IF(O196="","",IFERROR(INDEX(Reference_Data!$J$5:$J$14,MATCH(O196,Reference_Data!$H$5:$H$14,0)),""))</f>
        <v/>
      </c>
      <c r="Q196" s="37"/>
      <c r="R196" s="38"/>
      <c r="S196" s="12"/>
      <c r="T196" s="40" t="str">
        <f aca="false">IF(R196="","",R196+Reference_Data!$AL$6)</f>
        <v/>
      </c>
      <c r="U196" s="31" t="str">
        <f aca="true">IF(C196="","",IF(Q196="Yes","Decertification Record",IF(J196="","—",IF(COUNTIFS($C$5:$C$304,C196,$F$5:$F$304,F196,$J$5:$J$304,"&gt;"&amp;J196)&gt;0,"Superseded",IF(COUNTIFS($C$5:$C$304,C196,$F$5:$F$304,F196,$R$5:$R$304,"&gt;="&amp;J196)&gt;0,"Decertified",IF(K196&lt;TODAY(),"Expired","Active"))))))</f>
        <v/>
      </c>
      <c r="V196" s="37"/>
      <c r="W196" s="12"/>
    </row>
    <row r="197" customFormat="false" ht="15" hidden="false" customHeight="false" outlineLevel="0" collapsed="false">
      <c r="A197" s="37"/>
      <c r="B197" s="38"/>
      <c r="C197" s="37"/>
      <c r="D197" s="31" t="str">
        <f aca="false">IF($C197="","",IFERROR(INDEX(Employee_Master!$B$5:$B$104,MATCH($C197,Employee_Master!$A$5:$A$104,0)),"ID not found"))</f>
        <v/>
      </c>
      <c r="E197" s="31" t="str">
        <f aca="false">IF($C197="","",IFERROR(INDEX(Employee_Master!$C$5:$C$104,MATCH($C197,Employee_Master!$A$5:$A$104,0)),"ID not found"))</f>
        <v/>
      </c>
      <c r="F197" s="37"/>
      <c r="G197" s="37"/>
      <c r="H197" s="37"/>
      <c r="I197" s="39"/>
      <c r="J197" s="38"/>
      <c r="K197" s="40" t="str">
        <f aca="false">IF(J197="","",EDATE(J197,Reference_Data!$AL$5))</f>
        <v/>
      </c>
      <c r="L197" s="37"/>
      <c r="M197" s="12"/>
      <c r="N197" s="41"/>
      <c r="O197" s="37"/>
      <c r="P197" s="31" t="str">
        <f aca="false">IF(O197="","",IFERROR(INDEX(Reference_Data!$J$5:$J$14,MATCH(O197,Reference_Data!$H$5:$H$14,0)),""))</f>
        <v/>
      </c>
      <c r="Q197" s="37"/>
      <c r="R197" s="38"/>
      <c r="S197" s="12"/>
      <c r="T197" s="40" t="str">
        <f aca="false">IF(R197="","",R197+Reference_Data!$AL$6)</f>
        <v/>
      </c>
      <c r="U197" s="31" t="str">
        <f aca="true">IF(C197="","",IF(Q197="Yes","Decertification Record",IF(J197="","—",IF(COUNTIFS($C$5:$C$304,C197,$F$5:$F$304,F197,$J$5:$J$304,"&gt;"&amp;J197)&gt;0,"Superseded",IF(COUNTIFS($C$5:$C$304,C197,$F$5:$F$304,F197,$R$5:$R$304,"&gt;="&amp;J197)&gt;0,"Decertified",IF(K197&lt;TODAY(),"Expired","Active"))))))</f>
        <v/>
      </c>
      <c r="V197" s="37"/>
      <c r="W197" s="12"/>
    </row>
    <row r="198" customFormat="false" ht="15" hidden="false" customHeight="false" outlineLevel="0" collapsed="false">
      <c r="A198" s="37"/>
      <c r="B198" s="38"/>
      <c r="C198" s="37"/>
      <c r="D198" s="31" t="str">
        <f aca="false">IF($C198="","",IFERROR(INDEX(Employee_Master!$B$5:$B$104,MATCH($C198,Employee_Master!$A$5:$A$104,0)),"ID not found"))</f>
        <v/>
      </c>
      <c r="E198" s="31" t="str">
        <f aca="false">IF($C198="","",IFERROR(INDEX(Employee_Master!$C$5:$C$104,MATCH($C198,Employee_Master!$A$5:$A$104,0)),"ID not found"))</f>
        <v/>
      </c>
      <c r="F198" s="37"/>
      <c r="G198" s="37"/>
      <c r="H198" s="37"/>
      <c r="I198" s="39"/>
      <c r="J198" s="38"/>
      <c r="K198" s="40" t="str">
        <f aca="false">IF(J198="","",EDATE(J198,Reference_Data!$AL$5))</f>
        <v/>
      </c>
      <c r="L198" s="37"/>
      <c r="M198" s="12"/>
      <c r="N198" s="41"/>
      <c r="O198" s="37"/>
      <c r="P198" s="31" t="str">
        <f aca="false">IF(O198="","",IFERROR(INDEX(Reference_Data!$J$5:$J$14,MATCH(O198,Reference_Data!$H$5:$H$14,0)),""))</f>
        <v/>
      </c>
      <c r="Q198" s="37"/>
      <c r="R198" s="38"/>
      <c r="S198" s="12"/>
      <c r="T198" s="40" t="str">
        <f aca="false">IF(R198="","",R198+Reference_Data!$AL$6)</f>
        <v/>
      </c>
      <c r="U198" s="31" t="str">
        <f aca="true">IF(C198="","",IF(Q198="Yes","Decertification Record",IF(J198="","—",IF(COUNTIFS($C$5:$C$304,C198,$F$5:$F$304,F198,$J$5:$J$304,"&gt;"&amp;J198)&gt;0,"Superseded",IF(COUNTIFS($C$5:$C$304,C198,$F$5:$F$304,F198,$R$5:$R$304,"&gt;="&amp;J198)&gt;0,"Decertified",IF(K198&lt;TODAY(),"Expired","Active"))))))</f>
        <v/>
      </c>
      <c r="V198" s="37"/>
      <c r="W198" s="12"/>
    </row>
    <row r="199" customFormat="false" ht="15" hidden="false" customHeight="false" outlineLevel="0" collapsed="false">
      <c r="A199" s="37"/>
      <c r="B199" s="38"/>
      <c r="C199" s="37"/>
      <c r="D199" s="31" t="str">
        <f aca="false">IF($C199="","",IFERROR(INDEX(Employee_Master!$B$5:$B$104,MATCH($C199,Employee_Master!$A$5:$A$104,0)),"ID not found"))</f>
        <v/>
      </c>
      <c r="E199" s="31" t="str">
        <f aca="false">IF($C199="","",IFERROR(INDEX(Employee_Master!$C$5:$C$104,MATCH($C199,Employee_Master!$A$5:$A$104,0)),"ID not found"))</f>
        <v/>
      </c>
      <c r="F199" s="37"/>
      <c r="G199" s="37"/>
      <c r="H199" s="37"/>
      <c r="I199" s="39"/>
      <c r="J199" s="38"/>
      <c r="K199" s="40" t="str">
        <f aca="false">IF(J199="","",EDATE(J199,Reference_Data!$AL$5))</f>
        <v/>
      </c>
      <c r="L199" s="37"/>
      <c r="M199" s="12"/>
      <c r="N199" s="41"/>
      <c r="O199" s="37"/>
      <c r="P199" s="31" t="str">
        <f aca="false">IF(O199="","",IFERROR(INDEX(Reference_Data!$J$5:$J$14,MATCH(O199,Reference_Data!$H$5:$H$14,0)),""))</f>
        <v/>
      </c>
      <c r="Q199" s="37"/>
      <c r="R199" s="38"/>
      <c r="S199" s="12"/>
      <c r="T199" s="40" t="str">
        <f aca="false">IF(R199="","",R199+Reference_Data!$AL$6)</f>
        <v/>
      </c>
      <c r="U199" s="31" t="str">
        <f aca="true">IF(C199="","",IF(Q199="Yes","Decertification Record",IF(J199="","—",IF(COUNTIFS($C$5:$C$304,C199,$F$5:$F$304,F199,$J$5:$J$304,"&gt;"&amp;J199)&gt;0,"Superseded",IF(COUNTIFS($C$5:$C$304,C199,$F$5:$F$304,F199,$R$5:$R$304,"&gt;="&amp;J199)&gt;0,"Decertified",IF(K199&lt;TODAY(),"Expired","Active"))))))</f>
        <v/>
      </c>
      <c r="V199" s="37"/>
      <c r="W199" s="12"/>
    </row>
    <row r="200" customFormat="false" ht="15" hidden="false" customHeight="false" outlineLevel="0" collapsed="false">
      <c r="A200" s="37"/>
      <c r="B200" s="38"/>
      <c r="C200" s="37"/>
      <c r="D200" s="31" t="str">
        <f aca="false">IF($C200="","",IFERROR(INDEX(Employee_Master!$B$5:$B$104,MATCH($C200,Employee_Master!$A$5:$A$104,0)),"ID not found"))</f>
        <v/>
      </c>
      <c r="E200" s="31" t="str">
        <f aca="false">IF($C200="","",IFERROR(INDEX(Employee_Master!$C$5:$C$104,MATCH($C200,Employee_Master!$A$5:$A$104,0)),"ID not found"))</f>
        <v/>
      </c>
      <c r="F200" s="37"/>
      <c r="G200" s="37"/>
      <c r="H200" s="37"/>
      <c r="I200" s="39"/>
      <c r="J200" s="38"/>
      <c r="K200" s="40" t="str">
        <f aca="false">IF(J200="","",EDATE(J200,Reference_Data!$AL$5))</f>
        <v/>
      </c>
      <c r="L200" s="37"/>
      <c r="M200" s="12"/>
      <c r="N200" s="41"/>
      <c r="O200" s="37"/>
      <c r="P200" s="31" t="str">
        <f aca="false">IF(O200="","",IFERROR(INDEX(Reference_Data!$J$5:$J$14,MATCH(O200,Reference_Data!$H$5:$H$14,0)),""))</f>
        <v/>
      </c>
      <c r="Q200" s="37"/>
      <c r="R200" s="38"/>
      <c r="S200" s="12"/>
      <c r="T200" s="40" t="str">
        <f aca="false">IF(R200="","",R200+Reference_Data!$AL$6)</f>
        <v/>
      </c>
      <c r="U200" s="31" t="str">
        <f aca="true">IF(C200="","",IF(Q200="Yes","Decertification Record",IF(J200="","—",IF(COUNTIFS($C$5:$C$304,C200,$F$5:$F$304,F200,$J$5:$J$304,"&gt;"&amp;J200)&gt;0,"Superseded",IF(COUNTIFS($C$5:$C$304,C200,$F$5:$F$304,F200,$R$5:$R$304,"&gt;="&amp;J200)&gt;0,"Decertified",IF(K200&lt;TODAY(),"Expired","Active"))))))</f>
        <v/>
      </c>
      <c r="V200" s="37"/>
      <c r="W200" s="12"/>
    </row>
    <row r="201" customFormat="false" ht="15" hidden="false" customHeight="false" outlineLevel="0" collapsed="false">
      <c r="A201" s="37"/>
      <c r="B201" s="38"/>
      <c r="C201" s="37"/>
      <c r="D201" s="31" t="str">
        <f aca="false">IF($C201="","",IFERROR(INDEX(Employee_Master!$B$5:$B$104,MATCH($C201,Employee_Master!$A$5:$A$104,0)),"ID not found"))</f>
        <v/>
      </c>
      <c r="E201" s="31" t="str">
        <f aca="false">IF($C201="","",IFERROR(INDEX(Employee_Master!$C$5:$C$104,MATCH($C201,Employee_Master!$A$5:$A$104,0)),"ID not found"))</f>
        <v/>
      </c>
      <c r="F201" s="37"/>
      <c r="G201" s="37"/>
      <c r="H201" s="37"/>
      <c r="I201" s="39"/>
      <c r="J201" s="38"/>
      <c r="K201" s="40" t="str">
        <f aca="false">IF(J201="","",EDATE(J201,Reference_Data!$AL$5))</f>
        <v/>
      </c>
      <c r="L201" s="37"/>
      <c r="M201" s="12"/>
      <c r="N201" s="41"/>
      <c r="O201" s="37"/>
      <c r="P201" s="31" t="str">
        <f aca="false">IF(O201="","",IFERROR(INDEX(Reference_Data!$J$5:$J$14,MATCH(O201,Reference_Data!$H$5:$H$14,0)),""))</f>
        <v/>
      </c>
      <c r="Q201" s="37"/>
      <c r="R201" s="38"/>
      <c r="S201" s="12"/>
      <c r="T201" s="40" t="str">
        <f aca="false">IF(R201="","",R201+Reference_Data!$AL$6)</f>
        <v/>
      </c>
      <c r="U201" s="31" t="str">
        <f aca="true">IF(C201="","",IF(Q201="Yes","Decertification Record",IF(J201="","—",IF(COUNTIFS($C$5:$C$304,C201,$F$5:$F$304,F201,$J$5:$J$304,"&gt;"&amp;J201)&gt;0,"Superseded",IF(COUNTIFS($C$5:$C$304,C201,$F$5:$F$304,F201,$R$5:$R$304,"&gt;="&amp;J201)&gt;0,"Decertified",IF(K201&lt;TODAY(),"Expired","Active"))))))</f>
        <v/>
      </c>
      <c r="V201" s="37"/>
      <c r="W201" s="12"/>
    </row>
    <row r="202" customFormat="false" ht="15" hidden="false" customHeight="false" outlineLevel="0" collapsed="false">
      <c r="A202" s="37"/>
      <c r="B202" s="38"/>
      <c r="C202" s="37"/>
      <c r="D202" s="31" t="str">
        <f aca="false">IF($C202="","",IFERROR(INDEX(Employee_Master!$B$5:$B$104,MATCH($C202,Employee_Master!$A$5:$A$104,0)),"ID not found"))</f>
        <v/>
      </c>
      <c r="E202" s="31" t="str">
        <f aca="false">IF($C202="","",IFERROR(INDEX(Employee_Master!$C$5:$C$104,MATCH($C202,Employee_Master!$A$5:$A$104,0)),"ID not found"))</f>
        <v/>
      </c>
      <c r="F202" s="37"/>
      <c r="G202" s="37"/>
      <c r="H202" s="37"/>
      <c r="I202" s="39"/>
      <c r="J202" s="38"/>
      <c r="K202" s="40" t="str">
        <f aca="false">IF(J202="","",EDATE(J202,Reference_Data!$AL$5))</f>
        <v/>
      </c>
      <c r="L202" s="37"/>
      <c r="M202" s="12"/>
      <c r="N202" s="41"/>
      <c r="O202" s="37"/>
      <c r="P202" s="31" t="str">
        <f aca="false">IF(O202="","",IFERROR(INDEX(Reference_Data!$J$5:$J$14,MATCH(O202,Reference_Data!$H$5:$H$14,0)),""))</f>
        <v/>
      </c>
      <c r="Q202" s="37"/>
      <c r="R202" s="38"/>
      <c r="S202" s="12"/>
      <c r="T202" s="40" t="str">
        <f aca="false">IF(R202="","",R202+Reference_Data!$AL$6)</f>
        <v/>
      </c>
      <c r="U202" s="31" t="str">
        <f aca="true">IF(C202="","",IF(Q202="Yes","Decertification Record",IF(J202="","—",IF(COUNTIFS($C$5:$C$304,C202,$F$5:$F$304,F202,$J$5:$J$304,"&gt;"&amp;J202)&gt;0,"Superseded",IF(COUNTIFS($C$5:$C$304,C202,$F$5:$F$304,F202,$R$5:$R$304,"&gt;="&amp;J202)&gt;0,"Decertified",IF(K202&lt;TODAY(),"Expired","Active"))))))</f>
        <v/>
      </c>
      <c r="V202" s="37"/>
      <c r="W202" s="12"/>
    </row>
    <row r="203" customFormat="false" ht="15" hidden="false" customHeight="false" outlineLevel="0" collapsed="false">
      <c r="A203" s="37"/>
      <c r="B203" s="38"/>
      <c r="C203" s="37"/>
      <c r="D203" s="31" t="str">
        <f aca="false">IF($C203="","",IFERROR(INDEX(Employee_Master!$B$5:$B$104,MATCH($C203,Employee_Master!$A$5:$A$104,0)),"ID not found"))</f>
        <v/>
      </c>
      <c r="E203" s="31" t="str">
        <f aca="false">IF($C203="","",IFERROR(INDEX(Employee_Master!$C$5:$C$104,MATCH($C203,Employee_Master!$A$5:$A$104,0)),"ID not found"))</f>
        <v/>
      </c>
      <c r="F203" s="37"/>
      <c r="G203" s="37"/>
      <c r="H203" s="37"/>
      <c r="I203" s="39"/>
      <c r="J203" s="38"/>
      <c r="K203" s="40" t="str">
        <f aca="false">IF(J203="","",EDATE(J203,Reference_Data!$AL$5))</f>
        <v/>
      </c>
      <c r="L203" s="37"/>
      <c r="M203" s="12"/>
      <c r="N203" s="41"/>
      <c r="O203" s="37"/>
      <c r="P203" s="31" t="str">
        <f aca="false">IF(O203="","",IFERROR(INDEX(Reference_Data!$J$5:$J$14,MATCH(O203,Reference_Data!$H$5:$H$14,0)),""))</f>
        <v/>
      </c>
      <c r="Q203" s="37"/>
      <c r="R203" s="38"/>
      <c r="S203" s="12"/>
      <c r="T203" s="40" t="str">
        <f aca="false">IF(R203="","",R203+Reference_Data!$AL$6)</f>
        <v/>
      </c>
      <c r="U203" s="31" t="str">
        <f aca="true">IF(C203="","",IF(Q203="Yes","Decertification Record",IF(J203="","—",IF(COUNTIFS($C$5:$C$304,C203,$F$5:$F$304,F203,$J$5:$J$304,"&gt;"&amp;J203)&gt;0,"Superseded",IF(COUNTIFS($C$5:$C$304,C203,$F$5:$F$304,F203,$R$5:$R$304,"&gt;="&amp;J203)&gt;0,"Decertified",IF(K203&lt;TODAY(),"Expired","Active"))))))</f>
        <v/>
      </c>
      <c r="V203" s="37"/>
      <c r="W203" s="12"/>
    </row>
    <row r="204" customFormat="false" ht="15" hidden="false" customHeight="false" outlineLevel="0" collapsed="false">
      <c r="A204" s="37"/>
      <c r="B204" s="38"/>
      <c r="C204" s="37"/>
      <c r="D204" s="31" t="str">
        <f aca="false">IF($C204="","",IFERROR(INDEX(Employee_Master!$B$5:$B$104,MATCH($C204,Employee_Master!$A$5:$A$104,0)),"ID not found"))</f>
        <v/>
      </c>
      <c r="E204" s="31" t="str">
        <f aca="false">IF($C204="","",IFERROR(INDEX(Employee_Master!$C$5:$C$104,MATCH($C204,Employee_Master!$A$5:$A$104,0)),"ID not found"))</f>
        <v/>
      </c>
      <c r="F204" s="37"/>
      <c r="G204" s="37"/>
      <c r="H204" s="37"/>
      <c r="I204" s="39"/>
      <c r="J204" s="38"/>
      <c r="K204" s="40" t="str">
        <f aca="false">IF(J204="","",EDATE(J204,Reference_Data!$AL$5))</f>
        <v/>
      </c>
      <c r="L204" s="37"/>
      <c r="M204" s="12"/>
      <c r="N204" s="41"/>
      <c r="O204" s="37"/>
      <c r="P204" s="31" t="str">
        <f aca="false">IF(O204="","",IFERROR(INDEX(Reference_Data!$J$5:$J$14,MATCH(O204,Reference_Data!$H$5:$H$14,0)),""))</f>
        <v/>
      </c>
      <c r="Q204" s="37"/>
      <c r="R204" s="38"/>
      <c r="S204" s="12"/>
      <c r="T204" s="40" t="str">
        <f aca="false">IF(R204="","",R204+Reference_Data!$AL$6)</f>
        <v/>
      </c>
      <c r="U204" s="31" t="str">
        <f aca="true">IF(C204="","",IF(Q204="Yes","Decertification Record",IF(J204="","—",IF(COUNTIFS($C$5:$C$304,C204,$F$5:$F$304,F204,$J$5:$J$304,"&gt;"&amp;J204)&gt;0,"Superseded",IF(COUNTIFS($C$5:$C$304,C204,$F$5:$F$304,F204,$R$5:$R$304,"&gt;="&amp;J204)&gt;0,"Decertified",IF(K204&lt;TODAY(),"Expired","Active"))))))</f>
        <v/>
      </c>
      <c r="V204" s="37"/>
      <c r="W204" s="12"/>
    </row>
    <row r="205" customFormat="false" ht="15" hidden="false" customHeight="false" outlineLevel="0" collapsed="false">
      <c r="A205" s="37"/>
      <c r="B205" s="38"/>
      <c r="C205" s="37"/>
      <c r="D205" s="31" t="str">
        <f aca="false">IF($C205="","",IFERROR(INDEX(Employee_Master!$B$5:$B$104,MATCH($C205,Employee_Master!$A$5:$A$104,0)),"ID not found"))</f>
        <v/>
      </c>
      <c r="E205" s="31" t="str">
        <f aca="false">IF($C205="","",IFERROR(INDEX(Employee_Master!$C$5:$C$104,MATCH($C205,Employee_Master!$A$5:$A$104,0)),"ID not found"))</f>
        <v/>
      </c>
      <c r="F205" s="37"/>
      <c r="G205" s="37"/>
      <c r="H205" s="37"/>
      <c r="I205" s="39"/>
      <c r="J205" s="38"/>
      <c r="K205" s="40" t="str">
        <f aca="false">IF(J205="","",EDATE(J205,Reference_Data!$AL$5))</f>
        <v/>
      </c>
      <c r="L205" s="37"/>
      <c r="M205" s="12"/>
      <c r="N205" s="41"/>
      <c r="O205" s="37"/>
      <c r="P205" s="31" t="str">
        <f aca="false">IF(O205="","",IFERROR(INDEX(Reference_Data!$J$5:$J$14,MATCH(O205,Reference_Data!$H$5:$H$14,0)),""))</f>
        <v/>
      </c>
      <c r="Q205" s="37"/>
      <c r="R205" s="38"/>
      <c r="S205" s="12"/>
      <c r="T205" s="40" t="str">
        <f aca="false">IF(R205="","",R205+Reference_Data!$AL$6)</f>
        <v/>
      </c>
      <c r="U205" s="31" t="str">
        <f aca="true">IF(C205="","",IF(Q205="Yes","Decertification Record",IF(J205="","—",IF(COUNTIFS($C$5:$C$304,C205,$F$5:$F$304,F205,$J$5:$J$304,"&gt;"&amp;J205)&gt;0,"Superseded",IF(COUNTIFS($C$5:$C$304,C205,$F$5:$F$304,F205,$R$5:$R$304,"&gt;="&amp;J205)&gt;0,"Decertified",IF(K205&lt;TODAY(),"Expired","Active"))))))</f>
        <v/>
      </c>
      <c r="V205" s="37"/>
      <c r="W205" s="12"/>
    </row>
    <row r="206" customFormat="false" ht="15" hidden="false" customHeight="false" outlineLevel="0" collapsed="false">
      <c r="A206" s="37"/>
      <c r="B206" s="38"/>
      <c r="C206" s="37"/>
      <c r="D206" s="31" t="str">
        <f aca="false">IF($C206="","",IFERROR(INDEX(Employee_Master!$B$5:$B$104,MATCH($C206,Employee_Master!$A$5:$A$104,0)),"ID not found"))</f>
        <v/>
      </c>
      <c r="E206" s="31" t="str">
        <f aca="false">IF($C206="","",IFERROR(INDEX(Employee_Master!$C$5:$C$104,MATCH($C206,Employee_Master!$A$5:$A$104,0)),"ID not found"))</f>
        <v/>
      </c>
      <c r="F206" s="37"/>
      <c r="G206" s="37"/>
      <c r="H206" s="37"/>
      <c r="I206" s="39"/>
      <c r="J206" s="38"/>
      <c r="K206" s="40" t="str">
        <f aca="false">IF(J206="","",EDATE(J206,Reference_Data!$AL$5))</f>
        <v/>
      </c>
      <c r="L206" s="37"/>
      <c r="M206" s="12"/>
      <c r="N206" s="41"/>
      <c r="O206" s="37"/>
      <c r="P206" s="31" t="str">
        <f aca="false">IF(O206="","",IFERROR(INDEX(Reference_Data!$J$5:$J$14,MATCH(O206,Reference_Data!$H$5:$H$14,0)),""))</f>
        <v/>
      </c>
      <c r="Q206" s="37"/>
      <c r="R206" s="38"/>
      <c r="S206" s="12"/>
      <c r="T206" s="40" t="str">
        <f aca="false">IF(R206="","",R206+Reference_Data!$AL$6)</f>
        <v/>
      </c>
      <c r="U206" s="31" t="str">
        <f aca="true">IF(C206="","",IF(Q206="Yes","Decertification Record",IF(J206="","—",IF(COUNTIFS($C$5:$C$304,C206,$F$5:$F$304,F206,$J$5:$J$304,"&gt;"&amp;J206)&gt;0,"Superseded",IF(COUNTIFS($C$5:$C$304,C206,$F$5:$F$304,F206,$R$5:$R$304,"&gt;="&amp;J206)&gt;0,"Decertified",IF(K206&lt;TODAY(),"Expired","Active"))))))</f>
        <v/>
      </c>
      <c r="V206" s="37"/>
      <c r="W206" s="12"/>
    </row>
    <row r="207" customFormat="false" ht="15" hidden="false" customHeight="false" outlineLevel="0" collapsed="false">
      <c r="A207" s="37"/>
      <c r="B207" s="38"/>
      <c r="C207" s="37"/>
      <c r="D207" s="31" t="str">
        <f aca="false">IF($C207="","",IFERROR(INDEX(Employee_Master!$B$5:$B$104,MATCH($C207,Employee_Master!$A$5:$A$104,0)),"ID not found"))</f>
        <v/>
      </c>
      <c r="E207" s="31" t="str">
        <f aca="false">IF($C207="","",IFERROR(INDEX(Employee_Master!$C$5:$C$104,MATCH($C207,Employee_Master!$A$5:$A$104,0)),"ID not found"))</f>
        <v/>
      </c>
      <c r="F207" s="37"/>
      <c r="G207" s="37"/>
      <c r="H207" s="37"/>
      <c r="I207" s="39"/>
      <c r="J207" s="38"/>
      <c r="K207" s="40" t="str">
        <f aca="false">IF(J207="","",EDATE(J207,Reference_Data!$AL$5))</f>
        <v/>
      </c>
      <c r="L207" s="37"/>
      <c r="M207" s="12"/>
      <c r="N207" s="41"/>
      <c r="O207" s="37"/>
      <c r="P207" s="31" t="str">
        <f aca="false">IF(O207="","",IFERROR(INDEX(Reference_Data!$J$5:$J$14,MATCH(O207,Reference_Data!$H$5:$H$14,0)),""))</f>
        <v/>
      </c>
      <c r="Q207" s="37"/>
      <c r="R207" s="38"/>
      <c r="S207" s="12"/>
      <c r="T207" s="40" t="str">
        <f aca="false">IF(R207="","",R207+Reference_Data!$AL$6)</f>
        <v/>
      </c>
      <c r="U207" s="31" t="str">
        <f aca="true">IF(C207="","",IF(Q207="Yes","Decertification Record",IF(J207="","—",IF(COUNTIFS($C$5:$C$304,C207,$F$5:$F$304,F207,$J$5:$J$304,"&gt;"&amp;J207)&gt;0,"Superseded",IF(COUNTIFS($C$5:$C$304,C207,$F$5:$F$304,F207,$R$5:$R$304,"&gt;="&amp;J207)&gt;0,"Decertified",IF(K207&lt;TODAY(),"Expired","Active"))))))</f>
        <v/>
      </c>
      <c r="V207" s="37"/>
      <c r="W207" s="12"/>
    </row>
    <row r="208" customFormat="false" ht="15" hidden="false" customHeight="false" outlineLevel="0" collapsed="false">
      <c r="A208" s="37"/>
      <c r="B208" s="38"/>
      <c r="C208" s="37"/>
      <c r="D208" s="31" t="str">
        <f aca="false">IF($C208="","",IFERROR(INDEX(Employee_Master!$B$5:$B$104,MATCH($C208,Employee_Master!$A$5:$A$104,0)),"ID not found"))</f>
        <v/>
      </c>
      <c r="E208" s="31" t="str">
        <f aca="false">IF($C208="","",IFERROR(INDEX(Employee_Master!$C$5:$C$104,MATCH($C208,Employee_Master!$A$5:$A$104,0)),"ID not found"))</f>
        <v/>
      </c>
      <c r="F208" s="37"/>
      <c r="G208" s="37"/>
      <c r="H208" s="37"/>
      <c r="I208" s="39"/>
      <c r="J208" s="38"/>
      <c r="K208" s="40" t="str">
        <f aca="false">IF(J208="","",EDATE(J208,Reference_Data!$AL$5))</f>
        <v/>
      </c>
      <c r="L208" s="37"/>
      <c r="M208" s="12"/>
      <c r="N208" s="41"/>
      <c r="O208" s="37"/>
      <c r="P208" s="31" t="str">
        <f aca="false">IF(O208="","",IFERROR(INDEX(Reference_Data!$J$5:$J$14,MATCH(O208,Reference_Data!$H$5:$H$14,0)),""))</f>
        <v/>
      </c>
      <c r="Q208" s="37"/>
      <c r="R208" s="38"/>
      <c r="S208" s="12"/>
      <c r="T208" s="40" t="str">
        <f aca="false">IF(R208="","",R208+Reference_Data!$AL$6)</f>
        <v/>
      </c>
      <c r="U208" s="31" t="str">
        <f aca="true">IF(C208="","",IF(Q208="Yes","Decertification Record",IF(J208="","—",IF(COUNTIFS($C$5:$C$304,C208,$F$5:$F$304,F208,$J$5:$J$304,"&gt;"&amp;J208)&gt;0,"Superseded",IF(COUNTIFS($C$5:$C$304,C208,$F$5:$F$304,F208,$R$5:$R$304,"&gt;="&amp;J208)&gt;0,"Decertified",IF(K208&lt;TODAY(),"Expired","Active"))))))</f>
        <v/>
      </c>
      <c r="V208" s="37"/>
      <c r="W208" s="12"/>
    </row>
    <row r="209" customFormat="false" ht="15" hidden="false" customHeight="false" outlineLevel="0" collapsed="false">
      <c r="A209" s="37"/>
      <c r="B209" s="38"/>
      <c r="C209" s="37"/>
      <c r="D209" s="31" t="str">
        <f aca="false">IF($C209="","",IFERROR(INDEX(Employee_Master!$B$5:$B$104,MATCH($C209,Employee_Master!$A$5:$A$104,0)),"ID not found"))</f>
        <v/>
      </c>
      <c r="E209" s="31" t="str">
        <f aca="false">IF($C209="","",IFERROR(INDEX(Employee_Master!$C$5:$C$104,MATCH($C209,Employee_Master!$A$5:$A$104,0)),"ID not found"))</f>
        <v/>
      </c>
      <c r="F209" s="37"/>
      <c r="G209" s="37"/>
      <c r="H209" s="37"/>
      <c r="I209" s="39"/>
      <c r="J209" s="38"/>
      <c r="K209" s="40" t="str">
        <f aca="false">IF(J209="","",EDATE(J209,Reference_Data!$AL$5))</f>
        <v/>
      </c>
      <c r="L209" s="37"/>
      <c r="M209" s="12"/>
      <c r="N209" s="41"/>
      <c r="O209" s="37"/>
      <c r="P209" s="31" t="str">
        <f aca="false">IF(O209="","",IFERROR(INDEX(Reference_Data!$J$5:$J$14,MATCH(O209,Reference_Data!$H$5:$H$14,0)),""))</f>
        <v/>
      </c>
      <c r="Q209" s="37"/>
      <c r="R209" s="38"/>
      <c r="S209" s="12"/>
      <c r="T209" s="40" t="str">
        <f aca="false">IF(R209="","",R209+Reference_Data!$AL$6)</f>
        <v/>
      </c>
      <c r="U209" s="31" t="str">
        <f aca="true">IF(C209="","",IF(Q209="Yes","Decertification Record",IF(J209="","—",IF(COUNTIFS($C$5:$C$304,C209,$F$5:$F$304,F209,$J$5:$J$304,"&gt;"&amp;J209)&gt;0,"Superseded",IF(COUNTIFS($C$5:$C$304,C209,$F$5:$F$304,F209,$R$5:$R$304,"&gt;="&amp;J209)&gt;0,"Decertified",IF(K209&lt;TODAY(),"Expired","Active"))))))</f>
        <v/>
      </c>
      <c r="V209" s="37"/>
      <c r="W209" s="12"/>
    </row>
    <row r="210" customFormat="false" ht="15" hidden="false" customHeight="false" outlineLevel="0" collapsed="false">
      <c r="A210" s="37"/>
      <c r="B210" s="38"/>
      <c r="C210" s="37"/>
      <c r="D210" s="31" t="str">
        <f aca="false">IF($C210="","",IFERROR(INDEX(Employee_Master!$B$5:$B$104,MATCH($C210,Employee_Master!$A$5:$A$104,0)),"ID not found"))</f>
        <v/>
      </c>
      <c r="E210" s="31" t="str">
        <f aca="false">IF($C210="","",IFERROR(INDEX(Employee_Master!$C$5:$C$104,MATCH($C210,Employee_Master!$A$5:$A$104,0)),"ID not found"))</f>
        <v/>
      </c>
      <c r="F210" s="37"/>
      <c r="G210" s="37"/>
      <c r="H210" s="37"/>
      <c r="I210" s="39"/>
      <c r="J210" s="38"/>
      <c r="K210" s="40" t="str">
        <f aca="false">IF(J210="","",EDATE(J210,Reference_Data!$AL$5))</f>
        <v/>
      </c>
      <c r="L210" s="37"/>
      <c r="M210" s="12"/>
      <c r="N210" s="41"/>
      <c r="O210" s="37"/>
      <c r="P210" s="31" t="str">
        <f aca="false">IF(O210="","",IFERROR(INDEX(Reference_Data!$J$5:$J$14,MATCH(O210,Reference_Data!$H$5:$H$14,0)),""))</f>
        <v/>
      </c>
      <c r="Q210" s="37"/>
      <c r="R210" s="38"/>
      <c r="S210" s="12"/>
      <c r="T210" s="40" t="str">
        <f aca="false">IF(R210="","",R210+Reference_Data!$AL$6)</f>
        <v/>
      </c>
      <c r="U210" s="31" t="str">
        <f aca="true">IF(C210="","",IF(Q210="Yes","Decertification Record",IF(J210="","—",IF(COUNTIFS($C$5:$C$304,C210,$F$5:$F$304,F210,$J$5:$J$304,"&gt;"&amp;J210)&gt;0,"Superseded",IF(COUNTIFS($C$5:$C$304,C210,$F$5:$F$304,F210,$R$5:$R$304,"&gt;="&amp;J210)&gt;0,"Decertified",IF(K210&lt;TODAY(),"Expired","Active"))))))</f>
        <v/>
      </c>
      <c r="V210" s="37"/>
      <c r="W210" s="12"/>
    </row>
    <row r="211" customFormat="false" ht="15" hidden="false" customHeight="false" outlineLevel="0" collapsed="false">
      <c r="A211" s="37"/>
      <c r="B211" s="38"/>
      <c r="C211" s="37"/>
      <c r="D211" s="31" t="str">
        <f aca="false">IF($C211="","",IFERROR(INDEX(Employee_Master!$B$5:$B$104,MATCH($C211,Employee_Master!$A$5:$A$104,0)),"ID not found"))</f>
        <v/>
      </c>
      <c r="E211" s="31" t="str">
        <f aca="false">IF($C211="","",IFERROR(INDEX(Employee_Master!$C$5:$C$104,MATCH($C211,Employee_Master!$A$5:$A$104,0)),"ID not found"))</f>
        <v/>
      </c>
      <c r="F211" s="37"/>
      <c r="G211" s="37"/>
      <c r="H211" s="37"/>
      <c r="I211" s="39"/>
      <c r="J211" s="38"/>
      <c r="K211" s="40" t="str">
        <f aca="false">IF(J211="","",EDATE(J211,Reference_Data!$AL$5))</f>
        <v/>
      </c>
      <c r="L211" s="37"/>
      <c r="M211" s="12"/>
      <c r="N211" s="41"/>
      <c r="O211" s="37"/>
      <c r="P211" s="31" t="str">
        <f aca="false">IF(O211="","",IFERROR(INDEX(Reference_Data!$J$5:$J$14,MATCH(O211,Reference_Data!$H$5:$H$14,0)),""))</f>
        <v/>
      </c>
      <c r="Q211" s="37"/>
      <c r="R211" s="38"/>
      <c r="S211" s="12"/>
      <c r="T211" s="40" t="str">
        <f aca="false">IF(R211="","",R211+Reference_Data!$AL$6)</f>
        <v/>
      </c>
      <c r="U211" s="31" t="str">
        <f aca="true">IF(C211="","",IF(Q211="Yes","Decertification Record",IF(J211="","—",IF(COUNTIFS($C$5:$C$304,C211,$F$5:$F$304,F211,$J$5:$J$304,"&gt;"&amp;J211)&gt;0,"Superseded",IF(COUNTIFS($C$5:$C$304,C211,$F$5:$F$304,F211,$R$5:$R$304,"&gt;="&amp;J211)&gt;0,"Decertified",IF(K211&lt;TODAY(),"Expired","Active"))))))</f>
        <v/>
      </c>
      <c r="V211" s="37"/>
      <c r="W211" s="12"/>
    </row>
    <row r="212" customFormat="false" ht="15" hidden="false" customHeight="false" outlineLevel="0" collapsed="false">
      <c r="A212" s="37"/>
      <c r="B212" s="38"/>
      <c r="C212" s="37"/>
      <c r="D212" s="31" t="str">
        <f aca="false">IF($C212="","",IFERROR(INDEX(Employee_Master!$B$5:$B$104,MATCH($C212,Employee_Master!$A$5:$A$104,0)),"ID not found"))</f>
        <v/>
      </c>
      <c r="E212" s="31" t="str">
        <f aca="false">IF($C212="","",IFERROR(INDEX(Employee_Master!$C$5:$C$104,MATCH($C212,Employee_Master!$A$5:$A$104,0)),"ID not found"))</f>
        <v/>
      </c>
      <c r="F212" s="37"/>
      <c r="G212" s="37"/>
      <c r="H212" s="37"/>
      <c r="I212" s="39"/>
      <c r="J212" s="38"/>
      <c r="K212" s="40" t="str">
        <f aca="false">IF(J212="","",EDATE(J212,Reference_Data!$AL$5))</f>
        <v/>
      </c>
      <c r="L212" s="37"/>
      <c r="M212" s="12"/>
      <c r="N212" s="41"/>
      <c r="O212" s="37"/>
      <c r="P212" s="31" t="str">
        <f aca="false">IF(O212="","",IFERROR(INDEX(Reference_Data!$J$5:$J$14,MATCH(O212,Reference_Data!$H$5:$H$14,0)),""))</f>
        <v/>
      </c>
      <c r="Q212" s="37"/>
      <c r="R212" s="38"/>
      <c r="S212" s="12"/>
      <c r="T212" s="40" t="str">
        <f aca="false">IF(R212="","",R212+Reference_Data!$AL$6)</f>
        <v/>
      </c>
      <c r="U212" s="31" t="str">
        <f aca="true">IF(C212="","",IF(Q212="Yes","Decertification Record",IF(J212="","—",IF(COUNTIFS($C$5:$C$304,C212,$F$5:$F$304,F212,$J$5:$J$304,"&gt;"&amp;J212)&gt;0,"Superseded",IF(COUNTIFS($C$5:$C$304,C212,$F$5:$F$304,F212,$R$5:$R$304,"&gt;="&amp;J212)&gt;0,"Decertified",IF(K212&lt;TODAY(),"Expired","Active"))))))</f>
        <v/>
      </c>
      <c r="V212" s="37"/>
      <c r="W212" s="12"/>
    </row>
    <row r="213" customFormat="false" ht="15" hidden="false" customHeight="false" outlineLevel="0" collapsed="false">
      <c r="A213" s="37"/>
      <c r="B213" s="38"/>
      <c r="C213" s="37"/>
      <c r="D213" s="31" t="str">
        <f aca="false">IF($C213="","",IFERROR(INDEX(Employee_Master!$B$5:$B$104,MATCH($C213,Employee_Master!$A$5:$A$104,0)),"ID not found"))</f>
        <v/>
      </c>
      <c r="E213" s="31" t="str">
        <f aca="false">IF($C213="","",IFERROR(INDEX(Employee_Master!$C$5:$C$104,MATCH($C213,Employee_Master!$A$5:$A$104,0)),"ID not found"))</f>
        <v/>
      </c>
      <c r="F213" s="37"/>
      <c r="G213" s="37"/>
      <c r="H213" s="37"/>
      <c r="I213" s="39"/>
      <c r="J213" s="38"/>
      <c r="K213" s="40" t="str">
        <f aca="false">IF(J213="","",EDATE(J213,Reference_Data!$AL$5))</f>
        <v/>
      </c>
      <c r="L213" s="37"/>
      <c r="M213" s="12"/>
      <c r="N213" s="41"/>
      <c r="O213" s="37"/>
      <c r="P213" s="31" t="str">
        <f aca="false">IF(O213="","",IFERROR(INDEX(Reference_Data!$J$5:$J$14,MATCH(O213,Reference_Data!$H$5:$H$14,0)),""))</f>
        <v/>
      </c>
      <c r="Q213" s="37"/>
      <c r="R213" s="38"/>
      <c r="S213" s="12"/>
      <c r="T213" s="40" t="str">
        <f aca="false">IF(R213="","",R213+Reference_Data!$AL$6)</f>
        <v/>
      </c>
      <c r="U213" s="31" t="str">
        <f aca="true">IF(C213="","",IF(Q213="Yes","Decertification Record",IF(J213="","—",IF(COUNTIFS($C$5:$C$304,C213,$F$5:$F$304,F213,$J$5:$J$304,"&gt;"&amp;J213)&gt;0,"Superseded",IF(COUNTIFS($C$5:$C$304,C213,$F$5:$F$304,F213,$R$5:$R$304,"&gt;="&amp;J213)&gt;0,"Decertified",IF(K213&lt;TODAY(),"Expired","Active"))))))</f>
        <v/>
      </c>
      <c r="V213" s="37"/>
      <c r="W213" s="12"/>
    </row>
    <row r="214" customFormat="false" ht="15" hidden="false" customHeight="false" outlineLevel="0" collapsed="false">
      <c r="A214" s="37"/>
      <c r="B214" s="38"/>
      <c r="C214" s="37"/>
      <c r="D214" s="31" t="str">
        <f aca="false">IF($C214="","",IFERROR(INDEX(Employee_Master!$B$5:$B$104,MATCH($C214,Employee_Master!$A$5:$A$104,0)),"ID not found"))</f>
        <v/>
      </c>
      <c r="E214" s="31" t="str">
        <f aca="false">IF($C214="","",IFERROR(INDEX(Employee_Master!$C$5:$C$104,MATCH($C214,Employee_Master!$A$5:$A$104,0)),"ID not found"))</f>
        <v/>
      </c>
      <c r="F214" s="37"/>
      <c r="G214" s="37"/>
      <c r="H214" s="37"/>
      <c r="I214" s="39"/>
      <c r="J214" s="38"/>
      <c r="K214" s="40" t="str">
        <f aca="false">IF(J214="","",EDATE(J214,Reference_Data!$AL$5))</f>
        <v/>
      </c>
      <c r="L214" s="37"/>
      <c r="M214" s="12"/>
      <c r="N214" s="41"/>
      <c r="O214" s="37"/>
      <c r="P214" s="31" t="str">
        <f aca="false">IF(O214="","",IFERROR(INDEX(Reference_Data!$J$5:$J$14,MATCH(O214,Reference_Data!$H$5:$H$14,0)),""))</f>
        <v/>
      </c>
      <c r="Q214" s="37"/>
      <c r="R214" s="38"/>
      <c r="S214" s="12"/>
      <c r="T214" s="40" t="str">
        <f aca="false">IF(R214="","",R214+Reference_Data!$AL$6)</f>
        <v/>
      </c>
      <c r="U214" s="31" t="str">
        <f aca="true">IF(C214="","",IF(Q214="Yes","Decertification Record",IF(J214="","—",IF(COUNTIFS($C$5:$C$304,C214,$F$5:$F$304,F214,$J$5:$J$304,"&gt;"&amp;J214)&gt;0,"Superseded",IF(COUNTIFS($C$5:$C$304,C214,$F$5:$F$304,F214,$R$5:$R$304,"&gt;="&amp;J214)&gt;0,"Decertified",IF(K214&lt;TODAY(),"Expired","Active"))))))</f>
        <v/>
      </c>
      <c r="V214" s="37"/>
      <c r="W214" s="12"/>
    </row>
    <row r="215" customFormat="false" ht="15" hidden="false" customHeight="false" outlineLevel="0" collapsed="false">
      <c r="A215" s="37"/>
      <c r="B215" s="38"/>
      <c r="C215" s="37"/>
      <c r="D215" s="31" t="str">
        <f aca="false">IF($C215="","",IFERROR(INDEX(Employee_Master!$B$5:$B$104,MATCH($C215,Employee_Master!$A$5:$A$104,0)),"ID not found"))</f>
        <v/>
      </c>
      <c r="E215" s="31" t="str">
        <f aca="false">IF($C215="","",IFERROR(INDEX(Employee_Master!$C$5:$C$104,MATCH($C215,Employee_Master!$A$5:$A$104,0)),"ID not found"))</f>
        <v/>
      </c>
      <c r="F215" s="37"/>
      <c r="G215" s="37"/>
      <c r="H215" s="37"/>
      <c r="I215" s="39"/>
      <c r="J215" s="38"/>
      <c r="K215" s="40" t="str">
        <f aca="false">IF(J215="","",EDATE(J215,Reference_Data!$AL$5))</f>
        <v/>
      </c>
      <c r="L215" s="37"/>
      <c r="M215" s="12"/>
      <c r="N215" s="41"/>
      <c r="O215" s="37"/>
      <c r="P215" s="31" t="str">
        <f aca="false">IF(O215="","",IFERROR(INDEX(Reference_Data!$J$5:$J$14,MATCH(O215,Reference_Data!$H$5:$H$14,0)),""))</f>
        <v/>
      </c>
      <c r="Q215" s="37"/>
      <c r="R215" s="38"/>
      <c r="S215" s="12"/>
      <c r="T215" s="40" t="str">
        <f aca="false">IF(R215="","",R215+Reference_Data!$AL$6)</f>
        <v/>
      </c>
      <c r="U215" s="31" t="str">
        <f aca="true">IF(C215="","",IF(Q215="Yes","Decertification Record",IF(J215="","—",IF(COUNTIFS($C$5:$C$304,C215,$F$5:$F$304,F215,$J$5:$J$304,"&gt;"&amp;J215)&gt;0,"Superseded",IF(COUNTIFS($C$5:$C$304,C215,$F$5:$F$304,F215,$R$5:$R$304,"&gt;="&amp;J215)&gt;0,"Decertified",IF(K215&lt;TODAY(),"Expired","Active"))))))</f>
        <v/>
      </c>
      <c r="V215" s="37"/>
      <c r="W215" s="12"/>
    </row>
    <row r="216" customFormat="false" ht="15" hidden="false" customHeight="false" outlineLevel="0" collapsed="false">
      <c r="A216" s="37"/>
      <c r="B216" s="38"/>
      <c r="C216" s="37"/>
      <c r="D216" s="31" t="str">
        <f aca="false">IF($C216="","",IFERROR(INDEX(Employee_Master!$B$5:$B$104,MATCH($C216,Employee_Master!$A$5:$A$104,0)),"ID not found"))</f>
        <v/>
      </c>
      <c r="E216" s="31" t="str">
        <f aca="false">IF($C216="","",IFERROR(INDEX(Employee_Master!$C$5:$C$104,MATCH($C216,Employee_Master!$A$5:$A$104,0)),"ID not found"))</f>
        <v/>
      </c>
      <c r="F216" s="37"/>
      <c r="G216" s="37"/>
      <c r="H216" s="37"/>
      <c r="I216" s="39"/>
      <c r="J216" s="38"/>
      <c r="K216" s="40" t="str">
        <f aca="false">IF(J216="","",EDATE(J216,Reference_Data!$AL$5))</f>
        <v/>
      </c>
      <c r="L216" s="37"/>
      <c r="M216" s="12"/>
      <c r="N216" s="41"/>
      <c r="O216" s="37"/>
      <c r="P216" s="31" t="str">
        <f aca="false">IF(O216="","",IFERROR(INDEX(Reference_Data!$J$5:$J$14,MATCH(O216,Reference_Data!$H$5:$H$14,0)),""))</f>
        <v/>
      </c>
      <c r="Q216" s="37"/>
      <c r="R216" s="38"/>
      <c r="S216" s="12"/>
      <c r="T216" s="40" t="str">
        <f aca="false">IF(R216="","",R216+Reference_Data!$AL$6)</f>
        <v/>
      </c>
      <c r="U216" s="31" t="str">
        <f aca="true">IF(C216="","",IF(Q216="Yes","Decertification Record",IF(J216="","—",IF(COUNTIFS($C$5:$C$304,C216,$F$5:$F$304,F216,$J$5:$J$304,"&gt;"&amp;J216)&gt;0,"Superseded",IF(COUNTIFS($C$5:$C$304,C216,$F$5:$F$304,F216,$R$5:$R$304,"&gt;="&amp;J216)&gt;0,"Decertified",IF(K216&lt;TODAY(),"Expired","Active"))))))</f>
        <v/>
      </c>
      <c r="V216" s="37"/>
      <c r="W216" s="12"/>
    </row>
    <row r="217" customFormat="false" ht="15" hidden="false" customHeight="false" outlineLevel="0" collapsed="false">
      <c r="A217" s="37"/>
      <c r="B217" s="38"/>
      <c r="C217" s="37"/>
      <c r="D217" s="31" t="str">
        <f aca="false">IF($C217="","",IFERROR(INDEX(Employee_Master!$B$5:$B$104,MATCH($C217,Employee_Master!$A$5:$A$104,0)),"ID not found"))</f>
        <v/>
      </c>
      <c r="E217" s="31" t="str">
        <f aca="false">IF($C217="","",IFERROR(INDEX(Employee_Master!$C$5:$C$104,MATCH($C217,Employee_Master!$A$5:$A$104,0)),"ID not found"))</f>
        <v/>
      </c>
      <c r="F217" s="37"/>
      <c r="G217" s="37"/>
      <c r="H217" s="37"/>
      <c r="I217" s="39"/>
      <c r="J217" s="38"/>
      <c r="K217" s="40" t="str">
        <f aca="false">IF(J217="","",EDATE(J217,Reference_Data!$AL$5))</f>
        <v/>
      </c>
      <c r="L217" s="37"/>
      <c r="M217" s="12"/>
      <c r="N217" s="41"/>
      <c r="O217" s="37"/>
      <c r="P217" s="31" t="str">
        <f aca="false">IF(O217="","",IFERROR(INDEX(Reference_Data!$J$5:$J$14,MATCH(O217,Reference_Data!$H$5:$H$14,0)),""))</f>
        <v/>
      </c>
      <c r="Q217" s="37"/>
      <c r="R217" s="38"/>
      <c r="S217" s="12"/>
      <c r="T217" s="40" t="str">
        <f aca="false">IF(R217="","",R217+Reference_Data!$AL$6)</f>
        <v/>
      </c>
      <c r="U217" s="31" t="str">
        <f aca="true">IF(C217="","",IF(Q217="Yes","Decertification Record",IF(J217="","—",IF(COUNTIFS($C$5:$C$304,C217,$F$5:$F$304,F217,$J$5:$J$304,"&gt;"&amp;J217)&gt;0,"Superseded",IF(COUNTIFS($C$5:$C$304,C217,$F$5:$F$304,F217,$R$5:$R$304,"&gt;="&amp;J217)&gt;0,"Decertified",IF(K217&lt;TODAY(),"Expired","Active"))))))</f>
        <v/>
      </c>
      <c r="V217" s="37"/>
      <c r="W217" s="12"/>
    </row>
    <row r="218" customFormat="false" ht="15" hidden="false" customHeight="false" outlineLevel="0" collapsed="false">
      <c r="A218" s="37"/>
      <c r="B218" s="38"/>
      <c r="C218" s="37"/>
      <c r="D218" s="31" t="str">
        <f aca="false">IF($C218="","",IFERROR(INDEX(Employee_Master!$B$5:$B$104,MATCH($C218,Employee_Master!$A$5:$A$104,0)),"ID not found"))</f>
        <v/>
      </c>
      <c r="E218" s="31" t="str">
        <f aca="false">IF($C218="","",IFERROR(INDEX(Employee_Master!$C$5:$C$104,MATCH($C218,Employee_Master!$A$5:$A$104,0)),"ID not found"))</f>
        <v/>
      </c>
      <c r="F218" s="37"/>
      <c r="G218" s="37"/>
      <c r="H218" s="37"/>
      <c r="I218" s="39"/>
      <c r="J218" s="38"/>
      <c r="K218" s="40" t="str">
        <f aca="false">IF(J218="","",EDATE(J218,Reference_Data!$AL$5))</f>
        <v/>
      </c>
      <c r="L218" s="37"/>
      <c r="M218" s="12"/>
      <c r="N218" s="41"/>
      <c r="O218" s="37"/>
      <c r="P218" s="31" t="str">
        <f aca="false">IF(O218="","",IFERROR(INDEX(Reference_Data!$J$5:$J$14,MATCH(O218,Reference_Data!$H$5:$H$14,0)),""))</f>
        <v/>
      </c>
      <c r="Q218" s="37"/>
      <c r="R218" s="38"/>
      <c r="S218" s="12"/>
      <c r="T218" s="40" t="str">
        <f aca="false">IF(R218="","",R218+Reference_Data!$AL$6)</f>
        <v/>
      </c>
      <c r="U218" s="31" t="str">
        <f aca="true">IF(C218="","",IF(Q218="Yes","Decertification Record",IF(J218="","—",IF(COUNTIFS($C$5:$C$304,C218,$F$5:$F$304,F218,$J$5:$J$304,"&gt;"&amp;J218)&gt;0,"Superseded",IF(COUNTIFS($C$5:$C$304,C218,$F$5:$F$304,F218,$R$5:$R$304,"&gt;="&amp;J218)&gt;0,"Decertified",IF(K218&lt;TODAY(),"Expired","Active"))))))</f>
        <v/>
      </c>
      <c r="V218" s="37"/>
      <c r="W218" s="12"/>
    </row>
    <row r="219" customFormat="false" ht="15" hidden="false" customHeight="false" outlineLevel="0" collapsed="false">
      <c r="A219" s="37"/>
      <c r="B219" s="38"/>
      <c r="C219" s="37"/>
      <c r="D219" s="31" t="str">
        <f aca="false">IF($C219="","",IFERROR(INDEX(Employee_Master!$B$5:$B$104,MATCH($C219,Employee_Master!$A$5:$A$104,0)),"ID not found"))</f>
        <v/>
      </c>
      <c r="E219" s="31" t="str">
        <f aca="false">IF($C219="","",IFERROR(INDEX(Employee_Master!$C$5:$C$104,MATCH($C219,Employee_Master!$A$5:$A$104,0)),"ID not found"))</f>
        <v/>
      </c>
      <c r="F219" s="37"/>
      <c r="G219" s="37"/>
      <c r="H219" s="37"/>
      <c r="I219" s="39"/>
      <c r="J219" s="38"/>
      <c r="K219" s="40" t="str">
        <f aca="false">IF(J219="","",EDATE(J219,Reference_Data!$AL$5))</f>
        <v/>
      </c>
      <c r="L219" s="37"/>
      <c r="M219" s="12"/>
      <c r="N219" s="41"/>
      <c r="O219" s="37"/>
      <c r="P219" s="31" t="str">
        <f aca="false">IF(O219="","",IFERROR(INDEX(Reference_Data!$J$5:$J$14,MATCH(O219,Reference_Data!$H$5:$H$14,0)),""))</f>
        <v/>
      </c>
      <c r="Q219" s="37"/>
      <c r="R219" s="38"/>
      <c r="S219" s="12"/>
      <c r="T219" s="40" t="str">
        <f aca="false">IF(R219="","",R219+Reference_Data!$AL$6)</f>
        <v/>
      </c>
      <c r="U219" s="31" t="str">
        <f aca="true">IF(C219="","",IF(Q219="Yes","Decertification Record",IF(J219="","—",IF(COUNTIFS($C$5:$C$304,C219,$F$5:$F$304,F219,$J$5:$J$304,"&gt;"&amp;J219)&gt;0,"Superseded",IF(COUNTIFS($C$5:$C$304,C219,$F$5:$F$304,F219,$R$5:$R$304,"&gt;="&amp;J219)&gt;0,"Decertified",IF(K219&lt;TODAY(),"Expired","Active"))))))</f>
        <v/>
      </c>
      <c r="V219" s="37"/>
      <c r="W219" s="12"/>
    </row>
    <row r="220" customFormat="false" ht="15" hidden="false" customHeight="false" outlineLevel="0" collapsed="false">
      <c r="A220" s="37"/>
      <c r="B220" s="38"/>
      <c r="C220" s="37"/>
      <c r="D220" s="31" t="str">
        <f aca="false">IF($C220="","",IFERROR(INDEX(Employee_Master!$B$5:$B$104,MATCH($C220,Employee_Master!$A$5:$A$104,0)),"ID not found"))</f>
        <v/>
      </c>
      <c r="E220" s="31" t="str">
        <f aca="false">IF($C220="","",IFERROR(INDEX(Employee_Master!$C$5:$C$104,MATCH($C220,Employee_Master!$A$5:$A$104,0)),"ID not found"))</f>
        <v/>
      </c>
      <c r="F220" s="37"/>
      <c r="G220" s="37"/>
      <c r="H220" s="37"/>
      <c r="I220" s="39"/>
      <c r="J220" s="38"/>
      <c r="K220" s="40" t="str">
        <f aca="false">IF(J220="","",EDATE(J220,Reference_Data!$AL$5))</f>
        <v/>
      </c>
      <c r="L220" s="37"/>
      <c r="M220" s="12"/>
      <c r="N220" s="41"/>
      <c r="O220" s="37"/>
      <c r="P220" s="31" t="str">
        <f aca="false">IF(O220="","",IFERROR(INDEX(Reference_Data!$J$5:$J$14,MATCH(O220,Reference_Data!$H$5:$H$14,0)),""))</f>
        <v/>
      </c>
      <c r="Q220" s="37"/>
      <c r="R220" s="38"/>
      <c r="S220" s="12"/>
      <c r="T220" s="40" t="str">
        <f aca="false">IF(R220="","",R220+Reference_Data!$AL$6)</f>
        <v/>
      </c>
      <c r="U220" s="31" t="str">
        <f aca="true">IF(C220="","",IF(Q220="Yes","Decertification Record",IF(J220="","—",IF(COUNTIFS($C$5:$C$304,C220,$F$5:$F$304,F220,$J$5:$J$304,"&gt;"&amp;J220)&gt;0,"Superseded",IF(COUNTIFS($C$5:$C$304,C220,$F$5:$F$304,F220,$R$5:$R$304,"&gt;="&amp;J220)&gt;0,"Decertified",IF(K220&lt;TODAY(),"Expired","Active"))))))</f>
        <v/>
      </c>
      <c r="V220" s="37"/>
      <c r="W220" s="12"/>
    </row>
    <row r="221" customFormat="false" ht="15" hidden="false" customHeight="false" outlineLevel="0" collapsed="false">
      <c r="A221" s="37"/>
      <c r="B221" s="38"/>
      <c r="C221" s="37"/>
      <c r="D221" s="31" t="str">
        <f aca="false">IF($C221="","",IFERROR(INDEX(Employee_Master!$B$5:$B$104,MATCH($C221,Employee_Master!$A$5:$A$104,0)),"ID not found"))</f>
        <v/>
      </c>
      <c r="E221" s="31" t="str">
        <f aca="false">IF($C221="","",IFERROR(INDEX(Employee_Master!$C$5:$C$104,MATCH($C221,Employee_Master!$A$5:$A$104,0)),"ID not found"))</f>
        <v/>
      </c>
      <c r="F221" s="37"/>
      <c r="G221" s="37"/>
      <c r="H221" s="37"/>
      <c r="I221" s="39"/>
      <c r="J221" s="38"/>
      <c r="K221" s="40" t="str">
        <f aca="false">IF(J221="","",EDATE(J221,Reference_Data!$AL$5))</f>
        <v/>
      </c>
      <c r="L221" s="37"/>
      <c r="M221" s="12"/>
      <c r="N221" s="41"/>
      <c r="O221" s="37"/>
      <c r="P221" s="31" t="str">
        <f aca="false">IF(O221="","",IFERROR(INDEX(Reference_Data!$J$5:$J$14,MATCH(O221,Reference_Data!$H$5:$H$14,0)),""))</f>
        <v/>
      </c>
      <c r="Q221" s="37"/>
      <c r="R221" s="38"/>
      <c r="S221" s="12"/>
      <c r="T221" s="40" t="str">
        <f aca="false">IF(R221="","",R221+Reference_Data!$AL$6)</f>
        <v/>
      </c>
      <c r="U221" s="31" t="str">
        <f aca="true">IF(C221="","",IF(Q221="Yes","Decertification Record",IF(J221="","—",IF(COUNTIFS($C$5:$C$304,C221,$F$5:$F$304,F221,$J$5:$J$304,"&gt;"&amp;J221)&gt;0,"Superseded",IF(COUNTIFS($C$5:$C$304,C221,$F$5:$F$304,F221,$R$5:$R$304,"&gt;="&amp;J221)&gt;0,"Decertified",IF(K221&lt;TODAY(),"Expired","Active"))))))</f>
        <v/>
      </c>
      <c r="V221" s="37"/>
      <c r="W221" s="12"/>
    </row>
    <row r="222" customFormat="false" ht="15" hidden="false" customHeight="false" outlineLevel="0" collapsed="false">
      <c r="A222" s="37"/>
      <c r="B222" s="38"/>
      <c r="C222" s="37"/>
      <c r="D222" s="31" t="str">
        <f aca="false">IF($C222="","",IFERROR(INDEX(Employee_Master!$B$5:$B$104,MATCH($C222,Employee_Master!$A$5:$A$104,0)),"ID not found"))</f>
        <v/>
      </c>
      <c r="E222" s="31" t="str">
        <f aca="false">IF($C222="","",IFERROR(INDEX(Employee_Master!$C$5:$C$104,MATCH($C222,Employee_Master!$A$5:$A$104,0)),"ID not found"))</f>
        <v/>
      </c>
      <c r="F222" s="37"/>
      <c r="G222" s="37"/>
      <c r="H222" s="37"/>
      <c r="I222" s="39"/>
      <c r="J222" s="38"/>
      <c r="K222" s="40" t="str">
        <f aca="false">IF(J222="","",EDATE(J222,Reference_Data!$AL$5))</f>
        <v/>
      </c>
      <c r="L222" s="37"/>
      <c r="M222" s="12"/>
      <c r="N222" s="41"/>
      <c r="O222" s="37"/>
      <c r="P222" s="31" t="str">
        <f aca="false">IF(O222="","",IFERROR(INDEX(Reference_Data!$J$5:$J$14,MATCH(O222,Reference_Data!$H$5:$H$14,0)),""))</f>
        <v/>
      </c>
      <c r="Q222" s="37"/>
      <c r="R222" s="38"/>
      <c r="S222" s="12"/>
      <c r="T222" s="40" t="str">
        <f aca="false">IF(R222="","",R222+Reference_Data!$AL$6)</f>
        <v/>
      </c>
      <c r="U222" s="31" t="str">
        <f aca="true">IF(C222="","",IF(Q222="Yes","Decertification Record",IF(J222="","—",IF(COUNTIFS($C$5:$C$304,C222,$F$5:$F$304,F222,$J$5:$J$304,"&gt;"&amp;J222)&gt;0,"Superseded",IF(COUNTIFS($C$5:$C$304,C222,$F$5:$F$304,F222,$R$5:$R$304,"&gt;="&amp;J222)&gt;0,"Decertified",IF(K222&lt;TODAY(),"Expired","Active"))))))</f>
        <v/>
      </c>
      <c r="V222" s="37"/>
      <c r="W222" s="12"/>
    </row>
    <row r="223" customFormat="false" ht="15" hidden="false" customHeight="false" outlineLevel="0" collapsed="false">
      <c r="A223" s="37"/>
      <c r="B223" s="38"/>
      <c r="C223" s="37"/>
      <c r="D223" s="31" t="str">
        <f aca="false">IF($C223="","",IFERROR(INDEX(Employee_Master!$B$5:$B$104,MATCH($C223,Employee_Master!$A$5:$A$104,0)),"ID not found"))</f>
        <v/>
      </c>
      <c r="E223" s="31" t="str">
        <f aca="false">IF($C223="","",IFERROR(INDEX(Employee_Master!$C$5:$C$104,MATCH($C223,Employee_Master!$A$5:$A$104,0)),"ID not found"))</f>
        <v/>
      </c>
      <c r="F223" s="37"/>
      <c r="G223" s="37"/>
      <c r="H223" s="37"/>
      <c r="I223" s="39"/>
      <c r="J223" s="38"/>
      <c r="K223" s="40" t="str">
        <f aca="false">IF(J223="","",EDATE(J223,Reference_Data!$AL$5))</f>
        <v/>
      </c>
      <c r="L223" s="37"/>
      <c r="M223" s="12"/>
      <c r="N223" s="41"/>
      <c r="O223" s="37"/>
      <c r="P223" s="31" t="str">
        <f aca="false">IF(O223="","",IFERROR(INDEX(Reference_Data!$J$5:$J$14,MATCH(O223,Reference_Data!$H$5:$H$14,0)),""))</f>
        <v/>
      </c>
      <c r="Q223" s="37"/>
      <c r="R223" s="38"/>
      <c r="S223" s="12"/>
      <c r="T223" s="40" t="str">
        <f aca="false">IF(R223="","",R223+Reference_Data!$AL$6)</f>
        <v/>
      </c>
      <c r="U223" s="31" t="str">
        <f aca="true">IF(C223="","",IF(Q223="Yes","Decertification Record",IF(J223="","—",IF(COUNTIFS($C$5:$C$304,C223,$F$5:$F$304,F223,$J$5:$J$304,"&gt;"&amp;J223)&gt;0,"Superseded",IF(COUNTIFS($C$5:$C$304,C223,$F$5:$F$304,F223,$R$5:$R$304,"&gt;="&amp;J223)&gt;0,"Decertified",IF(K223&lt;TODAY(),"Expired","Active"))))))</f>
        <v/>
      </c>
      <c r="V223" s="37"/>
      <c r="W223" s="12"/>
    </row>
    <row r="224" customFormat="false" ht="15" hidden="false" customHeight="false" outlineLevel="0" collapsed="false">
      <c r="A224" s="37"/>
      <c r="B224" s="38"/>
      <c r="C224" s="37"/>
      <c r="D224" s="31" t="str">
        <f aca="false">IF($C224="","",IFERROR(INDEX(Employee_Master!$B$5:$B$104,MATCH($C224,Employee_Master!$A$5:$A$104,0)),"ID not found"))</f>
        <v/>
      </c>
      <c r="E224" s="31" t="str">
        <f aca="false">IF($C224="","",IFERROR(INDEX(Employee_Master!$C$5:$C$104,MATCH($C224,Employee_Master!$A$5:$A$104,0)),"ID not found"))</f>
        <v/>
      </c>
      <c r="F224" s="37"/>
      <c r="G224" s="37"/>
      <c r="H224" s="37"/>
      <c r="I224" s="39"/>
      <c r="J224" s="38"/>
      <c r="K224" s="40" t="str">
        <f aca="false">IF(J224="","",EDATE(J224,Reference_Data!$AL$5))</f>
        <v/>
      </c>
      <c r="L224" s="37"/>
      <c r="M224" s="12"/>
      <c r="N224" s="41"/>
      <c r="O224" s="37"/>
      <c r="P224" s="31" t="str">
        <f aca="false">IF(O224="","",IFERROR(INDEX(Reference_Data!$J$5:$J$14,MATCH(O224,Reference_Data!$H$5:$H$14,0)),""))</f>
        <v/>
      </c>
      <c r="Q224" s="37"/>
      <c r="R224" s="38"/>
      <c r="S224" s="12"/>
      <c r="T224" s="40" t="str">
        <f aca="false">IF(R224="","",R224+Reference_Data!$AL$6)</f>
        <v/>
      </c>
      <c r="U224" s="31" t="str">
        <f aca="true">IF(C224="","",IF(Q224="Yes","Decertification Record",IF(J224="","—",IF(COUNTIFS($C$5:$C$304,C224,$F$5:$F$304,F224,$J$5:$J$304,"&gt;"&amp;J224)&gt;0,"Superseded",IF(COUNTIFS($C$5:$C$304,C224,$F$5:$F$304,F224,$R$5:$R$304,"&gt;="&amp;J224)&gt;0,"Decertified",IF(K224&lt;TODAY(),"Expired","Active"))))))</f>
        <v/>
      </c>
      <c r="V224" s="37"/>
      <c r="W224" s="12"/>
    </row>
    <row r="225" customFormat="false" ht="15" hidden="false" customHeight="false" outlineLevel="0" collapsed="false">
      <c r="A225" s="37"/>
      <c r="B225" s="38"/>
      <c r="C225" s="37"/>
      <c r="D225" s="31" t="str">
        <f aca="false">IF($C225="","",IFERROR(INDEX(Employee_Master!$B$5:$B$104,MATCH($C225,Employee_Master!$A$5:$A$104,0)),"ID not found"))</f>
        <v/>
      </c>
      <c r="E225" s="31" t="str">
        <f aca="false">IF($C225="","",IFERROR(INDEX(Employee_Master!$C$5:$C$104,MATCH($C225,Employee_Master!$A$5:$A$104,0)),"ID not found"))</f>
        <v/>
      </c>
      <c r="F225" s="37"/>
      <c r="G225" s="37"/>
      <c r="H225" s="37"/>
      <c r="I225" s="39"/>
      <c r="J225" s="38"/>
      <c r="K225" s="40" t="str">
        <f aca="false">IF(J225="","",EDATE(J225,Reference_Data!$AL$5))</f>
        <v/>
      </c>
      <c r="L225" s="37"/>
      <c r="M225" s="12"/>
      <c r="N225" s="41"/>
      <c r="O225" s="37"/>
      <c r="P225" s="31" t="str">
        <f aca="false">IF(O225="","",IFERROR(INDEX(Reference_Data!$J$5:$J$14,MATCH(O225,Reference_Data!$H$5:$H$14,0)),""))</f>
        <v/>
      </c>
      <c r="Q225" s="37"/>
      <c r="R225" s="38"/>
      <c r="S225" s="12"/>
      <c r="T225" s="40" t="str">
        <f aca="false">IF(R225="","",R225+Reference_Data!$AL$6)</f>
        <v/>
      </c>
      <c r="U225" s="31" t="str">
        <f aca="true">IF(C225="","",IF(Q225="Yes","Decertification Record",IF(J225="","—",IF(COUNTIFS($C$5:$C$304,C225,$F$5:$F$304,F225,$J$5:$J$304,"&gt;"&amp;J225)&gt;0,"Superseded",IF(COUNTIFS($C$5:$C$304,C225,$F$5:$F$304,F225,$R$5:$R$304,"&gt;="&amp;J225)&gt;0,"Decertified",IF(K225&lt;TODAY(),"Expired","Active"))))))</f>
        <v/>
      </c>
      <c r="V225" s="37"/>
      <c r="W225" s="12"/>
    </row>
    <row r="226" customFormat="false" ht="15" hidden="false" customHeight="false" outlineLevel="0" collapsed="false">
      <c r="A226" s="37"/>
      <c r="B226" s="38"/>
      <c r="C226" s="37"/>
      <c r="D226" s="31" t="str">
        <f aca="false">IF($C226="","",IFERROR(INDEX(Employee_Master!$B$5:$B$104,MATCH($C226,Employee_Master!$A$5:$A$104,0)),"ID not found"))</f>
        <v/>
      </c>
      <c r="E226" s="31" t="str">
        <f aca="false">IF($C226="","",IFERROR(INDEX(Employee_Master!$C$5:$C$104,MATCH($C226,Employee_Master!$A$5:$A$104,0)),"ID not found"))</f>
        <v/>
      </c>
      <c r="F226" s="37"/>
      <c r="G226" s="37"/>
      <c r="H226" s="37"/>
      <c r="I226" s="39"/>
      <c r="J226" s="38"/>
      <c r="K226" s="40" t="str">
        <f aca="false">IF(J226="","",EDATE(J226,Reference_Data!$AL$5))</f>
        <v/>
      </c>
      <c r="L226" s="37"/>
      <c r="M226" s="12"/>
      <c r="N226" s="41"/>
      <c r="O226" s="37"/>
      <c r="P226" s="31" t="str">
        <f aca="false">IF(O226="","",IFERROR(INDEX(Reference_Data!$J$5:$J$14,MATCH(O226,Reference_Data!$H$5:$H$14,0)),""))</f>
        <v/>
      </c>
      <c r="Q226" s="37"/>
      <c r="R226" s="38"/>
      <c r="S226" s="12"/>
      <c r="T226" s="40" t="str">
        <f aca="false">IF(R226="","",R226+Reference_Data!$AL$6)</f>
        <v/>
      </c>
      <c r="U226" s="31" t="str">
        <f aca="true">IF(C226="","",IF(Q226="Yes","Decertification Record",IF(J226="","—",IF(COUNTIFS($C$5:$C$304,C226,$F$5:$F$304,F226,$J$5:$J$304,"&gt;"&amp;J226)&gt;0,"Superseded",IF(COUNTIFS($C$5:$C$304,C226,$F$5:$F$304,F226,$R$5:$R$304,"&gt;="&amp;J226)&gt;0,"Decertified",IF(K226&lt;TODAY(),"Expired","Active"))))))</f>
        <v/>
      </c>
      <c r="V226" s="37"/>
      <c r="W226" s="12"/>
    </row>
    <row r="227" customFormat="false" ht="15" hidden="false" customHeight="false" outlineLevel="0" collapsed="false">
      <c r="A227" s="37"/>
      <c r="B227" s="38"/>
      <c r="C227" s="37"/>
      <c r="D227" s="31" t="str">
        <f aca="false">IF($C227="","",IFERROR(INDEX(Employee_Master!$B$5:$B$104,MATCH($C227,Employee_Master!$A$5:$A$104,0)),"ID not found"))</f>
        <v/>
      </c>
      <c r="E227" s="31" t="str">
        <f aca="false">IF($C227="","",IFERROR(INDEX(Employee_Master!$C$5:$C$104,MATCH($C227,Employee_Master!$A$5:$A$104,0)),"ID not found"))</f>
        <v/>
      </c>
      <c r="F227" s="37"/>
      <c r="G227" s="37"/>
      <c r="H227" s="37"/>
      <c r="I227" s="39"/>
      <c r="J227" s="38"/>
      <c r="K227" s="40" t="str">
        <f aca="false">IF(J227="","",EDATE(J227,Reference_Data!$AL$5))</f>
        <v/>
      </c>
      <c r="L227" s="37"/>
      <c r="M227" s="12"/>
      <c r="N227" s="41"/>
      <c r="O227" s="37"/>
      <c r="P227" s="31" t="str">
        <f aca="false">IF(O227="","",IFERROR(INDEX(Reference_Data!$J$5:$J$14,MATCH(O227,Reference_Data!$H$5:$H$14,0)),""))</f>
        <v/>
      </c>
      <c r="Q227" s="37"/>
      <c r="R227" s="38"/>
      <c r="S227" s="12"/>
      <c r="T227" s="40" t="str">
        <f aca="false">IF(R227="","",R227+Reference_Data!$AL$6)</f>
        <v/>
      </c>
      <c r="U227" s="31" t="str">
        <f aca="true">IF(C227="","",IF(Q227="Yes","Decertification Record",IF(J227="","—",IF(COUNTIFS($C$5:$C$304,C227,$F$5:$F$304,F227,$J$5:$J$304,"&gt;"&amp;J227)&gt;0,"Superseded",IF(COUNTIFS($C$5:$C$304,C227,$F$5:$F$304,F227,$R$5:$R$304,"&gt;="&amp;J227)&gt;0,"Decertified",IF(K227&lt;TODAY(),"Expired","Active"))))))</f>
        <v/>
      </c>
      <c r="V227" s="37"/>
      <c r="W227" s="12"/>
    </row>
    <row r="228" customFormat="false" ht="15" hidden="false" customHeight="false" outlineLevel="0" collapsed="false">
      <c r="A228" s="37"/>
      <c r="B228" s="38"/>
      <c r="C228" s="37"/>
      <c r="D228" s="31" t="str">
        <f aca="false">IF($C228="","",IFERROR(INDEX(Employee_Master!$B$5:$B$104,MATCH($C228,Employee_Master!$A$5:$A$104,0)),"ID not found"))</f>
        <v/>
      </c>
      <c r="E228" s="31" t="str">
        <f aca="false">IF($C228="","",IFERROR(INDEX(Employee_Master!$C$5:$C$104,MATCH($C228,Employee_Master!$A$5:$A$104,0)),"ID not found"))</f>
        <v/>
      </c>
      <c r="F228" s="37"/>
      <c r="G228" s="37"/>
      <c r="H228" s="37"/>
      <c r="I228" s="39"/>
      <c r="J228" s="38"/>
      <c r="K228" s="40" t="str">
        <f aca="false">IF(J228="","",EDATE(J228,Reference_Data!$AL$5))</f>
        <v/>
      </c>
      <c r="L228" s="37"/>
      <c r="M228" s="12"/>
      <c r="N228" s="41"/>
      <c r="O228" s="37"/>
      <c r="P228" s="31" t="str">
        <f aca="false">IF(O228="","",IFERROR(INDEX(Reference_Data!$J$5:$J$14,MATCH(O228,Reference_Data!$H$5:$H$14,0)),""))</f>
        <v/>
      </c>
      <c r="Q228" s="37"/>
      <c r="R228" s="38"/>
      <c r="S228" s="12"/>
      <c r="T228" s="40" t="str">
        <f aca="false">IF(R228="","",R228+Reference_Data!$AL$6)</f>
        <v/>
      </c>
      <c r="U228" s="31" t="str">
        <f aca="true">IF(C228="","",IF(Q228="Yes","Decertification Record",IF(J228="","—",IF(COUNTIFS($C$5:$C$304,C228,$F$5:$F$304,F228,$J$5:$J$304,"&gt;"&amp;J228)&gt;0,"Superseded",IF(COUNTIFS($C$5:$C$304,C228,$F$5:$F$304,F228,$R$5:$R$304,"&gt;="&amp;J228)&gt;0,"Decertified",IF(K228&lt;TODAY(),"Expired","Active"))))))</f>
        <v/>
      </c>
      <c r="V228" s="37"/>
      <c r="W228" s="12"/>
    </row>
    <row r="229" customFormat="false" ht="15" hidden="false" customHeight="false" outlineLevel="0" collapsed="false">
      <c r="A229" s="37"/>
      <c r="B229" s="38"/>
      <c r="C229" s="37"/>
      <c r="D229" s="31" t="str">
        <f aca="false">IF($C229="","",IFERROR(INDEX(Employee_Master!$B$5:$B$104,MATCH($C229,Employee_Master!$A$5:$A$104,0)),"ID not found"))</f>
        <v/>
      </c>
      <c r="E229" s="31" t="str">
        <f aca="false">IF($C229="","",IFERROR(INDEX(Employee_Master!$C$5:$C$104,MATCH($C229,Employee_Master!$A$5:$A$104,0)),"ID not found"))</f>
        <v/>
      </c>
      <c r="F229" s="37"/>
      <c r="G229" s="37"/>
      <c r="H229" s="37"/>
      <c r="I229" s="39"/>
      <c r="J229" s="38"/>
      <c r="K229" s="40" t="str">
        <f aca="false">IF(J229="","",EDATE(J229,Reference_Data!$AL$5))</f>
        <v/>
      </c>
      <c r="L229" s="37"/>
      <c r="M229" s="12"/>
      <c r="N229" s="41"/>
      <c r="O229" s="37"/>
      <c r="P229" s="31" t="str">
        <f aca="false">IF(O229="","",IFERROR(INDEX(Reference_Data!$J$5:$J$14,MATCH(O229,Reference_Data!$H$5:$H$14,0)),""))</f>
        <v/>
      </c>
      <c r="Q229" s="37"/>
      <c r="R229" s="38"/>
      <c r="S229" s="12"/>
      <c r="T229" s="40" t="str">
        <f aca="false">IF(R229="","",R229+Reference_Data!$AL$6)</f>
        <v/>
      </c>
      <c r="U229" s="31" t="str">
        <f aca="true">IF(C229="","",IF(Q229="Yes","Decertification Record",IF(J229="","—",IF(COUNTIFS($C$5:$C$304,C229,$F$5:$F$304,F229,$J$5:$J$304,"&gt;"&amp;J229)&gt;0,"Superseded",IF(COUNTIFS($C$5:$C$304,C229,$F$5:$F$304,F229,$R$5:$R$304,"&gt;="&amp;J229)&gt;0,"Decertified",IF(K229&lt;TODAY(),"Expired","Active"))))))</f>
        <v/>
      </c>
      <c r="V229" s="37"/>
      <c r="W229" s="12"/>
    </row>
    <row r="230" customFormat="false" ht="15" hidden="false" customHeight="false" outlineLevel="0" collapsed="false">
      <c r="A230" s="37"/>
      <c r="B230" s="38"/>
      <c r="C230" s="37"/>
      <c r="D230" s="31" t="str">
        <f aca="false">IF($C230="","",IFERROR(INDEX(Employee_Master!$B$5:$B$104,MATCH($C230,Employee_Master!$A$5:$A$104,0)),"ID not found"))</f>
        <v/>
      </c>
      <c r="E230" s="31" t="str">
        <f aca="false">IF($C230="","",IFERROR(INDEX(Employee_Master!$C$5:$C$104,MATCH($C230,Employee_Master!$A$5:$A$104,0)),"ID not found"))</f>
        <v/>
      </c>
      <c r="F230" s="37"/>
      <c r="G230" s="37"/>
      <c r="H230" s="37"/>
      <c r="I230" s="39"/>
      <c r="J230" s="38"/>
      <c r="K230" s="40" t="str">
        <f aca="false">IF(J230="","",EDATE(J230,Reference_Data!$AL$5))</f>
        <v/>
      </c>
      <c r="L230" s="37"/>
      <c r="M230" s="12"/>
      <c r="N230" s="41"/>
      <c r="O230" s="37"/>
      <c r="P230" s="31" t="str">
        <f aca="false">IF(O230="","",IFERROR(INDEX(Reference_Data!$J$5:$J$14,MATCH(O230,Reference_Data!$H$5:$H$14,0)),""))</f>
        <v/>
      </c>
      <c r="Q230" s="37"/>
      <c r="R230" s="38"/>
      <c r="S230" s="12"/>
      <c r="T230" s="40" t="str">
        <f aca="false">IF(R230="","",R230+Reference_Data!$AL$6)</f>
        <v/>
      </c>
      <c r="U230" s="31" t="str">
        <f aca="true">IF(C230="","",IF(Q230="Yes","Decertification Record",IF(J230="","—",IF(COUNTIFS($C$5:$C$304,C230,$F$5:$F$304,F230,$J$5:$J$304,"&gt;"&amp;J230)&gt;0,"Superseded",IF(COUNTIFS($C$5:$C$304,C230,$F$5:$F$304,F230,$R$5:$R$304,"&gt;="&amp;J230)&gt;0,"Decertified",IF(K230&lt;TODAY(),"Expired","Active"))))))</f>
        <v/>
      </c>
      <c r="V230" s="37"/>
      <c r="W230" s="12"/>
    </row>
    <row r="231" customFormat="false" ht="15" hidden="false" customHeight="false" outlineLevel="0" collapsed="false">
      <c r="A231" s="37"/>
      <c r="B231" s="38"/>
      <c r="C231" s="37"/>
      <c r="D231" s="31" t="str">
        <f aca="false">IF($C231="","",IFERROR(INDEX(Employee_Master!$B$5:$B$104,MATCH($C231,Employee_Master!$A$5:$A$104,0)),"ID not found"))</f>
        <v/>
      </c>
      <c r="E231" s="31" t="str">
        <f aca="false">IF($C231="","",IFERROR(INDEX(Employee_Master!$C$5:$C$104,MATCH($C231,Employee_Master!$A$5:$A$104,0)),"ID not found"))</f>
        <v/>
      </c>
      <c r="F231" s="37"/>
      <c r="G231" s="37"/>
      <c r="H231" s="37"/>
      <c r="I231" s="39"/>
      <c r="J231" s="38"/>
      <c r="K231" s="40" t="str">
        <f aca="false">IF(J231="","",EDATE(J231,Reference_Data!$AL$5))</f>
        <v/>
      </c>
      <c r="L231" s="37"/>
      <c r="M231" s="12"/>
      <c r="N231" s="41"/>
      <c r="O231" s="37"/>
      <c r="P231" s="31" t="str">
        <f aca="false">IF(O231="","",IFERROR(INDEX(Reference_Data!$J$5:$J$14,MATCH(O231,Reference_Data!$H$5:$H$14,0)),""))</f>
        <v/>
      </c>
      <c r="Q231" s="37"/>
      <c r="R231" s="38"/>
      <c r="S231" s="12"/>
      <c r="T231" s="40" t="str">
        <f aca="false">IF(R231="","",R231+Reference_Data!$AL$6)</f>
        <v/>
      </c>
      <c r="U231" s="31" t="str">
        <f aca="true">IF(C231="","",IF(Q231="Yes","Decertification Record",IF(J231="","—",IF(COUNTIFS($C$5:$C$304,C231,$F$5:$F$304,F231,$J$5:$J$304,"&gt;"&amp;J231)&gt;0,"Superseded",IF(COUNTIFS($C$5:$C$304,C231,$F$5:$F$304,F231,$R$5:$R$304,"&gt;="&amp;J231)&gt;0,"Decertified",IF(K231&lt;TODAY(),"Expired","Active"))))))</f>
        <v/>
      </c>
      <c r="V231" s="37"/>
      <c r="W231" s="12"/>
    </row>
    <row r="232" customFormat="false" ht="15" hidden="false" customHeight="false" outlineLevel="0" collapsed="false">
      <c r="A232" s="37"/>
      <c r="B232" s="38"/>
      <c r="C232" s="37"/>
      <c r="D232" s="31" t="str">
        <f aca="false">IF($C232="","",IFERROR(INDEX(Employee_Master!$B$5:$B$104,MATCH($C232,Employee_Master!$A$5:$A$104,0)),"ID not found"))</f>
        <v/>
      </c>
      <c r="E232" s="31" t="str">
        <f aca="false">IF($C232="","",IFERROR(INDEX(Employee_Master!$C$5:$C$104,MATCH($C232,Employee_Master!$A$5:$A$104,0)),"ID not found"))</f>
        <v/>
      </c>
      <c r="F232" s="37"/>
      <c r="G232" s="37"/>
      <c r="H232" s="37"/>
      <c r="I232" s="39"/>
      <c r="J232" s="38"/>
      <c r="K232" s="40" t="str">
        <f aca="false">IF(J232="","",EDATE(J232,Reference_Data!$AL$5))</f>
        <v/>
      </c>
      <c r="L232" s="37"/>
      <c r="M232" s="12"/>
      <c r="N232" s="41"/>
      <c r="O232" s="37"/>
      <c r="P232" s="31" t="str">
        <f aca="false">IF(O232="","",IFERROR(INDEX(Reference_Data!$J$5:$J$14,MATCH(O232,Reference_Data!$H$5:$H$14,0)),""))</f>
        <v/>
      </c>
      <c r="Q232" s="37"/>
      <c r="R232" s="38"/>
      <c r="S232" s="12"/>
      <c r="T232" s="40" t="str">
        <f aca="false">IF(R232="","",R232+Reference_Data!$AL$6)</f>
        <v/>
      </c>
      <c r="U232" s="31" t="str">
        <f aca="true">IF(C232="","",IF(Q232="Yes","Decertification Record",IF(J232="","—",IF(COUNTIFS($C$5:$C$304,C232,$F$5:$F$304,F232,$J$5:$J$304,"&gt;"&amp;J232)&gt;0,"Superseded",IF(COUNTIFS($C$5:$C$304,C232,$F$5:$F$304,F232,$R$5:$R$304,"&gt;="&amp;J232)&gt;0,"Decertified",IF(K232&lt;TODAY(),"Expired","Active"))))))</f>
        <v/>
      </c>
      <c r="V232" s="37"/>
      <c r="W232" s="12"/>
    </row>
    <row r="233" customFormat="false" ht="15" hidden="false" customHeight="false" outlineLevel="0" collapsed="false">
      <c r="A233" s="37"/>
      <c r="B233" s="38"/>
      <c r="C233" s="37"/>
      <c r="D233" s="31" t="str">
        <f aca="false">IF($C233="","",IFERROR(INDEX(Employee_Master!$B$5:$B$104,MATCH($C233,Employee_Master!$A$5:$A$104,0)),"ID not found"))</f>
        <v/>
      </c>
      <c r="E233" s="31" t="str">
        <f aca="false">IF($C233="","",IFERROR(INDEX(Employee_Master!$C$5:$C$104,MATCH($C233,Employee_Master!$A$5:$A$104,0)),"ID not found"))</f>
        <v/>
      </c>
      <c r="F233" s="37"/>
      <c r="G233" s="37"/>
      <c r="H233" s="37"/>
      <c r="I233" s="39"/>
      <c r="J233" s="38"/>
      <c r="K233" s="40" t="str">
        <f aca="false">IF(J233="","",EDATE(J233,Reference_Data!$AL$5))</f>
        <v/>
      </c>
      <c r="L233" s="37"/>
      <c r="M233" s="12"/>
      <c r="N233" s="41"/>
      <c r="O233" s="37"/>
      <c r="P233" s="31" t="str">
        <f aca="false">IF(O233="","",IFERROR(INDEX(Reference_Data!$J$5:$J$14,MATCH(O233,Reference_Data!$H$5:$H$14,0)),""))</f>
        <v/>
      </c>
      <c r="Q233" s="37"/>
      <c r="R233" s="38"/>
      <c r="S233" s="12"/>
      <c r="T233" s="40" t="str">
        <f aca="false">IF(R233="","",R233+Reference_Data!$AL$6)</f>
        <v/>
      </c>
      <c r="U233" s="31" t="str">
        <f aca="true">IF(C233="","",IF(Q233="Yes","Decertification Record",IF(J233="","—",IF(COUNTIFS($C$5:$C$304,C233,$F$5:$F$304,F233,$J$5:$J$304,"&gt;"&amp;J233)&gt;0,"Superseded",IF(COUNTIFS($C$5:$C$304,C233,$F$5:$F$304,F233,$R$5:$R$304,"&gt;="&amp;J233)&gt;0,"Decertified",IF(K233&lt;TODAY(),"Expired","Active"))))))</f>
        <v/>
      </c>
      <c r="V233" s="37"/>
      <c r="W233" s="12"/>
    </row>
    <row r="234" customFormat="false" ht="15" hidden="false" customHeight="false" outlineLevel="0" collapsed="false">
      <c r="A234" s="37"/>
      <c r="B234" s="38"/>
      <c r="C234" s="37"/>
      <c r="D234" s="31" t="str">
        <f aca="false">IF($C234="","",IFERROR(INDEX(Employee_Master!$B$5:$B$104,MATCH($C234,Employee_Master!$A$5:$A$104,0)),"ID not found"))</f>
        <v/>
      </c>
      <c r="E234" s="31" t="str">
        <f aca="false">IF($C234="","",IFERROR(INDEX(Employee_Master!$C$5:$C$104,MATCH($C234,Employee_Master!$A$5:$A$104,0)),"ID not found"))</f>
        <v/>
      </c>
      <c r="F234" s="37"/>
      <c r="G234" s="37"/>
      <c r="H234" s="37"/>
      <c r="I234" s="39"/>
      <c r="J234" s="38"/>
      <c r="K234" s="40" t="str">
        <f aca="false">IF(J234="","",EDATE(J234,Reference_Data!$AL$5))</f>
        <v/>
      </c>
      <c r="L234" s="37"/>
      <c r="M234" s="12"/>
      <c r="N234" s="41"/>
      <c r="O234" s="37"/>
      <c r="P234" s="31" t="str">
        <f aca="false">IF(O234="","",IFERROR(INDEX(Reference_Data!$J$5:$J$14,MATCH(O234,Reference_Data!$H$5:$H$14,0)),""))</f>
        <v/>
      </c>
      <c r="Q234" s="37"/>
      <c r="R234" s="38"/>
      <c r="S234" s="12"/>
      <c r="T234" s="40" t="str">
        <f aca="false">IF(R234="","",R234+Reference_Data!$AL$6)</f>
        <v/>
      </c>
      <c r="U234" s="31" t="str">
        <f aca="true">IF(C234="","",IF(Q234="Yes","Decertification Record",IF(J234="","—",IF(COUNTIFS($C$5:$C$304,C234,$F$5:$F$304,F234,$J$5:$J$304,"&gt;"&amp;J234)&gt;0,"Superseded",IF(COUNTIFS($C$5:$C$304,C234,$F$5:$F$304,F234,$R$5:$R$304,"&gt;="&amp;J234)&gt;0,"Decertified",IF(K234&lt;TODAY(),"Expired","Active"))))))</f>
        <v/>
      </c>
      <c r="V234" s="37"/>
      <c r="W234" s="12"/>
    </row>
    <row r="235" customFormat="false" ht="15" hidden="false" customHeight="false" outlineLevel="0" collapsed="false">
      <c r="A235" s="37"/>
      <c r="B235" s="38"/>
      <c r="C235" s="37"/>
      <c r="D235" s="31" t="str">
        <f aca="false">IF($C235="","",IFERROR(INDEX(Employee_Master!$B$5:$B$104,MATCH($C235,Employee_Master!$A$5:$A$104,0)),"ID not found"))</f>
        <v/>
      </c>
      <c r="E235" s="31" t="str">
        <f aca="false">IF($C235="","",IFERROR(INDEX(Employee_Master!$C$5:$C$104,MATCH($C235,Employee_Master!$A$5:$A$104,0)),"ID not found"))</f>
        <v/>
      </c>
      <c r="F235" s="37"/>
      <c r="G235" s="37"/>
      <c r="H235" s="37"/>
      <c r="I235" s="39"/>
      <c r="J235" s="38"/>
      <c r="K235" s="40" t="str">
        <f aca="false">IF(J235="","",EDATE(J235,Reference_Data!$AL$5))</f>
        <v/>
      </c>
      <c r="L235" s="37"/>
      <c r="M235" s="12"/>
      <c r="N235" s="41"/>
      <c r="O235" s="37"/>
      <c r="P235" s="31" t="str">
        <f aca="false">IF(O235="","",IFERROR(INDEX(Reference_Data!$J$5:$J$14,MATCH(O235,Reference_Data!$H$5:$H$14,0)),""))</f>
        <v/>
      </c>
      <c r="Q235" s="37"/>
      <c r="R235" s="38"/>
      <c r="S235" s="12"/>
      <c r="T235" s="40" t="str">
        <f aca="false">IF(R235="","",R235+Reference_Data!$AL$6)</f>
        <v/>
      </c>
      <c r="U235" s="31" t="str">
        <f aca="true">IF(C235="","",IF(Q235="Yes","Decertification Record",IF(J235="","—",IF(COUNTIFS($C$5:$C$304,C235,$F$5:$F$304,F235,$J$5:$J$304,"&gt;"&amp;J235)&gt;0,"Superseded",IF(COUNTIFS($C$5:$C$304,C235,$F$5:$F$304,F235,$R$5:$R$304,"&gt;="&amp;J235)&gt;0,"Decertified",IF(K235&lt;TODAY(),"Expired","Active"))))))</f>
        <v/>
      </c>
      <c r="V235" s="37"/>
      <c r="W235" s="12"/>
    </row>
    <row r="236" customFormat="false" ht="15" hidden="false" customHeight="false" outlineLevel="0" collapsed="false">
      <c r="A236" s="37"/>
      <c r="B236" s="38"/>
      <c r="C236" s="37"/>
      <c r="D236" s="31" t="str">
        <f aca="false">IF($C236="","",IFERROR(INDEX(Employee_Master!$B$5:$B$104,MATCH($C236,Employee_Master!$A$5:$A$104,0)),"ID not found"))</f>
        <v/>
      </c>
      <c r="E236" s="31" t="str">
        <f aca="false">IF($C236="","",IFERROR(INDEX(Employee_Master!$C$5:$C$104,MATCH($C236,Employee_Master!$A$5:$A$104,0)),"ID not found"))</f>
        <v/>
      </c>
      <c r="F236" s="37"/>
      <c r="G236" s="37"/>
      <c r="H236" s="37"/>
      <c r="I236" s="39"/>
      <c r="J236" s="38"/>
      <c r="K236" s="40" t="str">
        <f aca="false">IF(J236="","",EDATE(J236,Reference_Data!$AL$5))</f>
        <v/>
      </c>
      <c r="L236" s="37"/>
      <c r="M236" s="12"/>
      <c r="N236" s="41"/>
      <c r="O236" s="37"/>
      <c r="P236" s="31" t="str">
        <f aca="false">IF(O236="","",IFERROR(INDEX(Reference_Data!$J$5:$J$14,MATCH(O236,Reference_Data!$H$5:$H$14,0)),""))</f>
        <v/>
      </c>
      <c r="Q236" s="37"/>
      <c r="R236" s="38"/>
      <c r="S236" s="12"/>
      <c r="T236" s="40" t="str">
        <f aca="false">IF(R236="","",R236+Reference_Data!$AL$6)</f>
        <v/>
      </c>
      <c r="U236" s="31" t="str">
        <f aca="true">IF(C236="","",IF(Q236="Yes","Decertification Record",IF(J236="","—",IF(COUNTIFS($C$5:$C$304,C236,$F$5:$F$304,F236,$J$5:$J$304,"&gt;"&amp;J236)&gt;0,"Superseded",IF(COUNTIFS($C$5:$C$304,C236,$F$5:$F$304,F236,$R$5:$R$304,"&gt;="&amp;J236)&gt;0,"Decertified",IF(K236&lt;TODAY(),"Expired","Active"))))))</f>
        <v/>
      </c>
      <c r="V236" s="37"/>
      <c r="W236" s="12"/>
    </row>
    <row r="237" customFormat="false" ht="15" hidden="false" customHeight="false" outlineLevel="0" collapsed="false">
      <c r="A237" s="37"/>
      <c r="B237" s="38"/>
      <c r="C237" s="37"/>
      <c r="D237" s="31" t="str">
        <f aca="false">IF($C237="","",IFERROR(INDEX(Employee_Master!$B$5:$B$104,MATCH($C237,Employee_Master!$A$5:$A$104,0)),"ID not found"))</f>
        <v/>
      </c>
      <c r="E237" s="31" t="str">
        <f aca="false">IF($C237="","",IFERROR(INDEX(Employee_Master!$C$5:$C$104,MATCH($C237,Employee_Master!$A$5:$A$104,0)),"ID not found"))</f>
        <v/>
      </c>
      <c r="F237" s="37"/>
      <c r="G237" s="37"/>
      <c r="H237" s="37"/>
      <c r="I237" s="39"/>
      <c r="J237" s="38"/>
      <c r="K237" s="40" t="str">
        <f aca="false">IF(J237="","",EDATE(J237,Reference_Data!$AL$5))</f>
        <v/>
      </c>
      <c r="L237" s="37"/>
      <c r="M237" s="12"/>
      <c r="N237" s="41"/>
      <c r="O237" s="37"/>
      <c r="P237" s="31" t="str">
        <f aca="false">IF(O237="","",IFERROR(INDEX(Reference_Data!$J$5:$J$14,MATCH(O237,Reference_Data!$H$5:$H$14,0)),""))</f>
        <v/>
      </c>
      <c r="Q237" s="37"/>
      <c r="R237" s="38"/>
      <c r="S237" s="12"/>
      <c r="T237" s="40" t="str">
        <f aca="false">IF(R237="","",R237+Reference_Data!$AL$6)</f>
        <v/>
      </c>
      <c r="U237" s="31" t="str">
        <f aca="true">IF(C237="","",IF(Q237="Yes","Decertification Record",IF(J237="","—",IF(COUNTIFS($C$5:$C$304,C237,$F$5:$F$304,F237,$J$5:$J$304,"&gt;"&amp;J237)&gt;0,"Superseded",IF(COUNTIFS($C$5:$C$304,C237,$F$5:$F$304,F237,$R$5:$R$304,"&gt;="&amp;J237)&gt;0,"Decertified",IF(K237&lt;TODAY(),"Expired","Active"))))))</f>
        <v/>
      </c>
      <c r="V237" s="37"/>
      <c r="W237" s="12"/>
    </row>
    <row r="238" customFormat="false" ht="15" hidden="false" customHeight="false" outlineLevel="0" collapsed="false">
      <c r="A238" s="37"/>
      <c r="B238" s="38"/>
      <c r="C238" s="37"/>
      <c r="D238" s="31" t="str">
        <f aca="false">IF($C238="","",IFERROR(INDEX(Employee_Master!$B$5:$B$104,MATCH($C238,Employee_Master!$A$5:$A$104,0)),"ID not found"))</f>
        <v/>
      </c>
      <c r="E238" s="31" t="str">
        <f aca="false">IF($C238="","",IFERROR(INDEX(Employee_Master!$C$5:$C$104,MATCH($C238,Employee_Master!$A$5:$A$104,0)),"ID not found"))</f>
        <v/>
      </c>
      <c r="F238" s="37"/>
      <c r="G238" s="37"/>
      <c r="H238" s="37"/>
      <c r="I238" s="39"/>
      <c r="J238" s="38"/>
      <c r="K238" s="40" t="str">
        <f aca="false">IF(J238="","",EDATE(J238,Reference_Data!$AL$5))</f>
        <v/>
      </c>
      <c r="L238" s="37"/>
      <c r="M238" s="12"/>
      <c r="N238" s="41"/>
      <c r="O238" s="37"/>
      <c r="P238" s="31" t="str">
        <f aca="false">IF(O238="","",IFERROR(INDEX(Reference_Data!$J$5:$J$14,MATCH(O238,Reference_Data!$H$5:$H$14,0)),""))</f>
        <v/>
      </c>
      <c r="Q238" s="37"/>
      <c r="R238" s="38"/>
      <c r="S238" s="12"/>
      <c r="T238" s="40" t="str">
        <f aca="false">IF(R238="","",R238+Reference_Data!$AL$6)</f>
        <v/>
      </c>
      <c r="U238" s="31" t="str">
        <f aca="true">IF(C238="","",IF(Q238="Yes","Decertification Record",IF(J238="","—",IF(COUNTIFS($C$5:$C$304,C238,$F$5:$F$304,F238,$J$5:$J$304,"&gt;"&amp;J238)&gt;0,"Superseded",IF(COUNTIFS($C$5:$C$304,C238,$F$5:$F$304,F238,$R$5:$R$304,"&gt;="&amp;J238)&gt;0,"Decertified",IF(K238&lt;TODAY(),"Expired","Active"))))))</f>
        <v/>
      </c>
      <c r="V238" s="37"/>
      <c r="W238" s="12"/>
    </row>
    <row r="239" customFormat="false" ht="15" hidden="false" customHeight="false" outlineLevel="0" collapsed="false">
      <c r="A239" s="37"/>
      <c r="B239" s="38"/>
      <c r="C239" s="37"/>
      <c r="D239" s="31" t="str">
        <f aca="false">IF($C239="","",IFERROR(INDEX(Employee_Master!$B$5:$B$104,MATCH($C239,Employee_Master!$A$5:$A$104,0)),"ID not found"))</f>
        <v/>
      </c>
      <c r="E239" s="31" t="str">
        <f aca="false">IF($C239="","",IFERROR(INDEX(Employee_Master!$C$5:$C$104,MATCH($C239,Employee_Master!$A$5:$A$104,0)),"ID not found"))</f>
        <v/>
      </c>
      <c r="F239" s="37"/>
      <c r="G239" s="37"/>
      <c r="H239" s="37"/>
      <c r="I239" s="39"/>
      <c r="J239" s="38"/>
      <c r="K239" s="40" t="str">
        <f aca="false">IF(J239="","",EDATE(J239,Reference_Data!$AL$5))</f>
        <v/>
      </c>
      <c r="L239" s="37"/>
      <c r="M239" s="12"/>
      <c r="N239" s="41"/>
      <c r="O239" s="37"/>
      <c r="P239" s="31" t="str">
        <f aca="false">IF(O239="","",IFERROR(INDEX(Reference_Data!$J$5:$J$14,MATCH(O239,Reference_Data!$H$5:$H$14,0)),""))</f>
        <v/>
      </c>
      <c r="Q239" s="37"/>
      <c r="R239" s="38"/>
      <c r="S239" s="12"/>
      <c r="T239" s="40" t="str">
        <f aca="false">IF(R239="","",R239+Reference_Data!$AL$6)</f>
        <v/>
      </c>
      <c r="U239" s="31" t="str">
        <f aca="true">IF(C239="","",IF(Q239="Yes","Decertification Record",IF(J239="","—",IF(COUNTIFS($C$5:$C$304,C239,$F$5:$F$304,F239,$J$5:$J$304,"&gt;"&amp;J239)&gt;0,"Superseded",IF(COUNTIFS($C$5:$C$304,C239,$F$5:$F$304,F239,$R$5:$R$304,"&gt;="&amp;J239)&gt;0,"Decertified",IF(K239&lt;TODAY(),"Expired","Active"))))))</f>
        <v/>
      </c>
      <c r="V239" s="37"/>
      <c r="W239" s="12"/>
    </row>
    <row r="240" customFormat="false" ht="15" hidden="false" customHeight="false" outlineLevel="0" collapsed="false">
      <c r="A240" s="37"/>
      <c r="B240" s="38"/>
      <c r="C240" s="37"/>
      <c r="D240" s="31" t="str">
        <f aca="false">IF($C240="","",IFERROR(INDEX(Employee_Master!$B$5:$B$104,MATCH($C240,Employee_Master!$A$5:$A$104,0)),"ID not found"))</f>
        <v/>
      </c>
      <c r="E240" s="31" t="str">
        <f aca="false">IF($C240="","",IFERROR(INDEX(Employee_Master!$C$5:$C$104,MATCH($C240,Employee_Master!$A$5:$A$104,0)),"ID not found"))</f>
        <v/>
      </c>
      <c r="F240" s="37"/>
      <c r="G240" s="37"/>
      <c r="H240" s="37"/>
      <c r="I240" s="39"/>
      <c r="J240" s="38"/>
      <c r="K240" s="40" t="str">
        <f aca="false">IF(J240="","",EDATE(J240,Reference_Data!$AL$5))</f>
        <v/>
      </c>
      <c r="L240" s="37"/>
      <c r="M240" s="12"/>
      <c r="N240" s="41"/>
      <c r="O240" s="37"/>
      <c r="P240" s="31" t="str">
        <f aca="false">IF(O240="","",IFERROR(INDEX(Reference_Data!$J$5:$J$14,MATCH(O240,Reference_Data!$H$5:$H$14,0)),""))</f>
        <v/>
      </c>
      <c r="Q240" s="37"/>
      <c r="R240" s="38"/>
      <c r="S240" s="12"/>
      <c r="T240" s="40" t="str">
        <f aca="false">IF(R240="","",R240+Reference_Data!$AL$6)</f>
        <v/>
      </c>
      <c r="U240" s="31" t="str">
        <f aca="true">IF(C240="","",IF(Q240="Yes","Decertification Record",IF(J240="","—",IF(COUNTIFS($C$5:$C$304,C240,$F$5:$F$304,F240,$J$5:$J$304,"&gt;"&amp;J240)&gt;0,"Superseded",IF(COUNTIFS($C$5:$C$304,C240,$F$5:$F$304,F240,$R$5:$R$304,"&gt;="&amp;J240)&gt;0,"Decertified",IF(K240&lt;TODAY(),"Expired","Active"))))))</f>
        <v/>
      </c>
      <c r="V240" s="37"/>
      <c r="W240" s="12"/>
    </row>
    <row r="241" customFormat="false" ht="15" hidden="false" customHeight="false" outlineLevel="0" collapsed="false">
      <c r="A241" s="37"/>
      <c r="B241" s="38"/>
      <c r="C241" s="37"/>
      <c r="D241" s="31" t="str">
        <f aca="false">IF($C241="","",IFERROR(INDEX(Employee_Master!$B$5:$B$104,MATCH($C241,Employee_Master!$A$5:$A$104,0)),"ID not found"))</f>
        <v/>
      </c>
      <c r="E241" s="31" t="str">
        <f aca="false">IF($C241="","",IFERROR(INDEX(Employee_Master!$C$5:$C$104,MATCH($C241,Employee_Master!$A$5:$A$104,0)),"ID not found"))</f>
        <v/>
      </c>
      <c r="F241" s="37"/>
      <c r="G241" s="37"/>
      <c r="H241" s="37"/>
      <c r="I241" s="39"/>
      <c r="J241" s="38"/>
      <c r="K241" s="40" t="str">
        <f aca="false">IF(J241="","",EDATE(J241,Reference_Data!$AL$5))</f>
        <v/>
      </c>
      <c r="L241" s="37"/>
      <c r="M241" s="12"/>
      <c r="N241" s="41"/>
      <c r="O241" s="37"/>
      <c r="P241" s="31" t="str">
        <f aca="false">IF(O241="","",IFERROR(INDEX(Reference_Data!$J$5:$J$14,MATCH(O241,Reference_Data!$H$5:$H$14,0)),""))</f>
        <v/>
      </c>
      <c r="Q241" s="37"/>
      <c r="R241" s="38"/>
      <c r="S241" s="12"/>
      <c r="T241" s="40" t="str">
        <f aca="false">IF(R241="","",R241+Reference_Data!$AL$6)</f>
        <v/>
      </c>
      <c r="U241" s="31" t="str">
        <f aca="true">IF(C241="","",IF(Q241="Yes","Decertification Record",IF(J241="","—",IF(COUNTIFS($C$5:$C$304,C241,$F$5:$F$304,F241,$J$5:$J$304,"&gt;"&amp;J241)&gt;0,"Superseded",IF(COUNTIFS($C$5:$C$304,C241,$F$5:$F$304,F241,$R$5:$R$304,"&gt;="&amp;J241)&gt;0,"Decertified",IF(K241&lt;TODAY(),"Expired","Active"))))))</f>
        <v/>
      </c>
      <c r="V241" s="37"/>
      <c r="W241" s="12"/>
    </row>
    <row r="242" customFormat="false" ht="15" hidden="false" customHeight="false" outlineLevel="0" collapsed="false">
      <c r="A242" s="37"/>
      <c r="B242" s="38"/>
      <c r="C242" s="37"/>
      <c r="D242" s="31" t="str">
        <f aca="false">IF($C242="","",IFERROR(INDEX(Employee_Master!$B$5:$B$104,MATCH($C242,Employee_Master!$A$5:$A$104,0)),"ID not found"))</f>
        <v/>
      </c>
      <c r="E242" s="31" t="str">
        <f aca="false">IF($C242="","",IFERROR(INDEX(Employee_Master!$C$5:$C$104,MATCH($C242,Employee_Master!$A$5:$A$104,0)),"ID not found"))</f>
        <v/>
      </c>
      <c r="F242" s="37"/>
      <c r="G242" s="37"/>
      <c r="H242" s="37"/>
      <c r="I242" s="39"/>
      <c r="J242" s="38"/>
      <c r="K242" s="40" t="str">
        <f aca="false">IF(J242="","",EDATE(J242,Reference_Data!$AL$5))</f>
        <v/>
      </c>
      <c r="L242" s="37"/>
      <c r="M242" s="12"/>
      <c r="N242" s="41"/>
      <c r="O242" s="37"/>
      <c r="P242" s="31" t="str">
        <f aca="false">IF(O242="","",IFERROR(INDEX(Reference_Data!$J$5:$J$14,MATCH(O242,Reference_Data!$H$5:$H$14,0)),""))</f>
        <v/>
      </c>
      <c r="Q242" s="37"/>
      <c r="R242" s="38"/>
      <c r="S242" s="12"/>
      <c r="T242" s="40" t="str">
        <f aca="false">IF(R242="","",R242+Reference_Data!$AL$6)</f>
        <v/>
      </c>
      <c r="U242" s="31" t="str">
        <f aca="true">IF(C242="","",IF(Q242="Yes","Decertification Record",IF(J242="","—",IF(COUNTIFS($C$5:$C$304,C242,$F$5:$F$304,F242,$J$5:$J$304,"&gt;"&amp;J242)&gt;0,"Superseded",IF(COUNTIFS($C$5:$C$304,C242,$F$5:$F$304,F242,$R$5:$R$304,"&gt;="&amp;J242)&gt;0,"Decertified",IF(K242&lt;TODAY(),"Expired","Active"))))))</f>
        <v/>
      </c>
      <c r="V242" s="37"/>
      <c r="W242" s="12"/>
    </row>
    <row r="243" customFormat="false" ht="15" hidden="false" customHeight="false" outlineLevel="0" collapsed="false">
      <c r="A243" s="37"/>
      <c r="B243" s="38"/>
      <c r="C243" s="37"/>
      <c r="D243" s="31" t="str">
        <f aca="false">IF($C243="","",IFERROR(INDEX(Employee_Master!$B$5:$B$104,MATCH($C243,Employee_Master!$A$5:$A$104,0)),"ID not found"))</f>
        <v/>
      </c>
      <c r="E243" s="31" t="str">
        <f aca="false">IF($C243="","",IFERROR(INDEX(Employee_Master!$C$5:$C$104,MATCH($C243,Employee_Master!$A$5:$A$104,0)),"ID not found"))</f>
        <v/>
      </c>
      <c r="F243" s="37"/>
      <c r="G243" s="37"/>
      <c r="H243" s="37"/>
      <c r="I243" s="39"/>
      <c r="J243" s="38"/>
      <c r="K243" s="40" t="str">
        <f aca="false">IF(J243="","",EDATE(J243,Reference_Data!$AL$5))</f>
        <v/>
      </c>
      <c r="L243" s="37"/>
      <c r="M243" s="12"/>
      <c r="N243" s="41"/>
      <c r="O243" s="37"/>
      <c r="P243" s="31" t="str">
        <f aca="false">IF(O243="","",IFERROR(INDEX(Reference_Data!$J$5:$J$14,MATCH(O243,Reference_Data!$H$5:$H$14,0)),""))</f>
        <v/>
      </c>
      <c r="Q243" s="37"/>
      <c r="R243" s="38"/>
      <c r="S243" s="12"/>
      <c r="T243" s="40" t="str">
        <f aca="false">IF(R243="","",R243+Reference_Data!$AL$6)</f>
        <v/>
      </c>
      <c r="U243" s="31" t="str">
        <f aca="true">IF(C243="","",IF(Q243="Yes","Decertification Record",IF(J243="","—",IF(COUNTIFS($C$5:$C$304,C243,$F$5:$F$304,F243,$J$5:$J$304,"&gt;"&amp;J243)&gt;0,"Superseded",IF(COUNTIFS($C$5:$C$304,C243,$F$5:$F$304,F243,$R$5:$R$304,"&gt;="&amp;J243)&gt;0,"Decertified",IF(K243&lt;TODAY(),"Expired","Active"))))))</f>
        <v/>
      </c>
      <c r="V243" s="37"/>
      <c r="W243" s="12"/>
    </row>
    <row r="244" customFormat="false" ht="15" hidden="false" customHeight="false" outlineLevel="0" collapsed="false">
      <c r="A244" s="37"/>
      <c r="B244" s="38"/>
      <c r="C244" s="37"/>
      <c r="D244" s="31" t="str">
        <f aca="false">IF($C244="","",IFERROR(INDEX(Employee_Master!$B$5:$B$104,MATCH($C244,Employee_Master!$A$5:$A$104,0)),"ID not found"))</f>
        <v/>
      </c>
      <c r="E244" s="31" t="str">
        <f aca="false">IF($C244="","",IFERROR(INDEX(Employee_Master!$C$5:$C$104,MATCH($C244,Employee_Master!$A$5:$A$104,0)),"ID not found"))</f>
        <v/>
      </c>
      <c r="F244" s="37"/>
      <c r="G244" s="37"/>
      <c r="H244" s="37"/>
      <c r="I244" s="39"/>
      <c r="J244" s="38"/>
      <c r="K244" s="40" t="str">
        <f aca="false">IF(J244="","",EDATE(J244,Reference_Data!$AL$5))</f>
        <v/>
      </c>
      <c r="L244" s="37"/>
      <c r="M244" s="12"/>
      <c r="N244" s="41"/>
      <c r="O244" s="37"/>
      <c r="P244" s="31" t="str">
        <f aca="false">IF(O244="","",IFERROR(INDEX(Reference_Data!$J$5:$J$14,MATCH(O244,Reference_Data!$H$5:$H$14,0)),""))</f>
        <v/>
      </c>
      <c r="Q244" s="37"/>
      <c r="R244" s="38"/>
      <c r="S244" s="12"/>
      <c r="T244" s="40" t="str">
        <f aca="false">IF(R244="","",R244+Reference_Data!$AL$6)</f>
        <v/>
      </c>
      <c r="U244" s="31" t="str">
        <f aca="true">IF(C244="","",IF(Q244="Yes","Decertification Record",IF(J244="","—",IF(COUNTIFS($C$5:$C$304,C244,$F$5:$F$304,F244,$J$5:$J$304,"&gt;"&amp;J244)&gt;0,"Superseded",IF(COUNTIFS($C$5:$C$304,C244,$F$5:$F$304,F244,$R$5:$R$304,"&gt;="&amp;J244)&gt;0,"Decertified",IF(K244&lt;TODAY(),"Expired","Active"))))))</f>
        <v/>
      </c>
      <c r="V244" s="37"/>
      <c r="W244" s="12"/>
    </row>
    <row r="245" customFormat="false" ht="15" hidden="false" customHeight="false" outlineLevel="0" collapsed="false">
      <c r="A245" s="37"/>
      <c r="B245" s="38"/>
      <c r="C245" s="37"/>
      <c r="D245" s="31" t="str">
        <f aca="false">IF($C245="","",IFERROR(INDEX(Employee_Master!$B$5:$B$104,MATCH($C245,Employee_Master!$A$5:$A$104,0)),"ID not found"))</f>
        <v/>
      </c>
      <c r="E245" s="31" t="str">
        <f aca="false">IF($C245="","",IFERROR(INDEX(Employee_Master!$C$5:$C$104,MATCH($C245,Employee_Master!$A$5:$A$104,0)),"ID not found"))</f>
        <v/>
      </c>
      <c r="F245" s="37"/>
      <c r="G245" s="37"/>
      <c r="H245" s="37"/>
      <c r="I245" s="39"/>
      <c r="J245" s="38"/>
      <c r="K245" s="40" t="str">
        <f aca="false">IF(J245="","",EDATE(J245,Reference_Data!$AL$5))</f>
        <v/>
      </c>
      <c r="L245" s="37"/>
      <c r="M245" s="12"/>
      <c r="N245" s="41"/>
      <c r="O245" s="37"/>
      <c r="P245" s="31" t="str">
        <f aca="false">IF(O245="","",IFERROR(INDEX(Reference_Data!$J$5:$J$14,MATCH(O245,Reference_Data!$H$5:$H$14,0)),""))</f>
        <v/>
      </c>
      <c r="Q245" s="37"/>
      <c r="R245" s="38"/>
      <c r="S245" s="12"/>
      <c r="T245" s="40" t="str">
        <f aca="false">IF(R245="","",R245+Reference_Data!$AL$6)</f>
        <v/>
      </c>
      <c r="U245" s="31" t="str">
        <f aca="true">IF(C245="","",IF(Q245="Yes","Decertification Record",IF(J245="","—",IF(COUNTIFS($C$5:$C$304,C245,$F$5:$F$304,F245,$J$5:$J$304,"&gt;"&amp;J245)&gt;0,"Superseded",IF(COUNTIFS($C$5:$C$304,C245,$F$5:$F$304,F245,$R$5:$R$304,"&gt;="&amp;J245)&gt;0,"Decertified",IF(K245&lt;TODAY(),"Expired","Active"))))))</f>
        <v/>
      </c>
      <c r="V245" s="37"/>
      <c r="W245" s="12"/>
    </row>
    <row r="246" customFormat="false" ht="15" hidden="false" customHeight="false" outlineLevel="0" collapsed="false">
      <c r="A246" s="37"/>
      <c r="B246" s="38"/>
      <c r="C246" s="37"/>
      <c r="D246" s="31" t="str">
        <f aca="false">IF($C246="","",IFERROR(INDEX(Employee_Master!$B$5:$B$104,MATCH($C246,Employee_Master!$A$5:$A$104,0)),"ID not found"))</f>
        <v/>
      </c>
      <c r="E246" s="31" t="str">
        <f aca="false">IF($C246="","",IFERROR(INDEX(Employee_Master!$C$5:$C$104,MATCH($C246,Employee_Master!$A$5:$A$104,0)),"ID not found"))</f>
        <v/>
      </c>
      <c r="F246" s="37"/>
      <c r="G246" s="37"/>
      <c r="H246" s="37"/>
      <c r="I246" s="39"/>
      <c r="J246" s="38"/>
      <c r="K246" s="40" t="str">
        <f aca="false">IF(J246="","",EDATE(J246,Reference_Data!$AL$5))</f>
        <v/>
      </c>
      <c r="L246" s="37"/>
      <c r="M246" s="12"/>
      <c r="N246" s="41"/>
      <c r="O246" s="37"/>
      <c r="P246" s="31" t="str">
        <f aca="false">IF(O246="","",IFERROR(INDEX(Reference_Data!$J$5:$J$14,MATCH(O246,Reference_Data!$H$5:$H$14,0)),""))</f>
        <v/>
      </c>
      <c r="Q246" s="37"/>
      <c r="R246" s="38"/>
      <c r="S246" s="12"/>
      <c r="T246" s="40" t="str">
        <f aca="false">IF(R246="","",R246+Reference_Data!$AL$6)</f>
        <v/>
      </c>
      <c r="U246" s="31" t="str">
        <f aca="true">IF(C246="","",IF(Q246="Yes","Decertification Record",IF(J246="","—",IF(COUNTIFS($C$5:$C$304,C246,$F$5:$F$304,F246,$J$5:$J$304,"&gt;"&amp;J246)&gt;0,"Superseded",IF(COUNTIFS($C$5:$C$304,C246,$F$5:$F$304,F246,$R$5:$R$304,"&gt;="&amp;J246)&gt;0,"Decertified",IF(K246&lt;TODAY(),"Expired","Active"))))))</f>
        <v/>
      </c>
      <c r="V246" s="37"/>
      <c r="W246" s="12"/>
    </row>
    <row r="247" customFormat="false" ht="15" hidden="false" customHeight="false" outlineLevel="0" collapsed="false">
      <c r="A247" s="37"/>
      <c r="B247" s="38"/>
      <c r="C247" s="37"/>
      <c r="D247" s="31" t="str">
        <f aca="false">IF($C247="","",IFERROR(INDEX(Employee_Master!$B$5:$B$104,MATCH($C247,Employee_Master!$A$5:$A$104,0)),"ID not found"))</f>
        <v/>
      </c>
      <c r="E247" s="31" t="str">
        <f aca="false">IF($C247="","",IFERROR(INDEX(Employee_Master!$C$5:$C$104,MATCH($C247,Employee_Master!$A$5:$A$104,0)),"ID not found"))</f>
        <v/>
      </c>
      <c r="F247" s="37"/>
      <c r="G247" s="37"/>
      <c r="H247" s="37"/>
      <c r="I247" s="39"/>
      <c r="J247" s="38"/>
      <c r="K247" s="40" t="str">
        <f aca="false">IF(J247="","",EDATE(J247,Reference_Data!$AL$5))</f>
        <v/>
      </c>
      <c r="L247" s="37"/>
      <c r="M247" s="12"/>
      <c r="N247" s="41"/>
      <c r="O247" s="37"/>
      <c r="P247" s="31" t="str">
        <f aca="false">IF(O247="","",IFERROR(INDEX(Reference_Data!$J$5:$J$14,MATCH(O247,Reference_Data!$H$5:$H$14,0)),""))</f>
        <v/>
      </c>
      <c r="Q247" s="37"/>
      <c r="R247" s="38"/>
      <c r="S247" s="12"/>
      <c r="T247" s="40" t="str">
        <f aca="false">IF(R247="","",R247+Reference_Data!$AL$6)</f>
        <v/>
      </c>
      <c r="U247" s="31" t="str">
        <f aca="true">IF(C247="","",IF(Q247="Yes","Decertification Record",IF(J247="","—",IF(COUNTIFS($C$5:$C$304,C247,$F$5:$F$304,F247,$J$5:$J$304,"&gt;"&amp;J247)&gt;0,"Superseded",IF(COUNTIFS($C$5:$C$304,C247,$F$5:$F$304,F247,$R$5:$R$304,"&gt;="&amp;J247)&gt;0,"Decertified",IF(K247&lt;TODAY(),"Expired","Active"))))))</f>
        <v/>
      </c>
      <c r="V247" s="37"/>
      <c r="W247" s="12"/>
    </row>
    <row r="248" customFormat="false" ht="15" hidden="false" customHeight="false" outlineLevel="0" collapsed="false">
      <c r="A248" s="37"/>
      <c r="B248" s="38"/>
      <c r="C248" s="37"/>
      <c r="D248" s="31" t="str">
        <f aca="false">IF($C248="","",IFERROR(INDEX(Employee_Master!$B$5:$B$104,MATCH($C248,Employee_Master!$A$5:$A$104,0)),"ID not found"))</f>
        <v/>
      </c>
      <c r="E248" s="31" t="str">
        <f aca="false">IF($C248="","",IFERROR(INDEX(Employee_Master!$C$5:$C$104,MATCH($C248,Employee_Master!$A$5:$A$104,0)),"ID not found"))</f>
        <v/>
      </c>
      <c r="F248" s="37"/>
      <c r="G248" s="37"/>
      <c r="H248" s="37"/>
      <c r="I248" s="39"/>
      <c r="J248" s="38"/>
      <c r="K248" s="40" t="str">
        <f aca="false">IF(J248="","",EDATE(J248,Reference_Data!$AL$5))</f>
        <v/>
      </c>
      <c r="L248" s="37"/>
      <c r="M248" s="12"/>
      <c r="N248" s="41"/>
      <c r="O248" s="37"/>
      <c r="P248" s="31" t="str">
        <f aca="false">IF(O248="","",IFERROR(INDEX(Reference_Data!$J$5:$J$14,MATCH(O248,Reference_Data!$H$5:$H$14,0)),""))</f>
        <v/>
      </c>
      <c r="Q248" s="37"/>
      <c r="R248" s="38"/>
      <c r="S248" s="12"/>
      <c r="T248" s="40" t="str">
        <f aca="false">IF(R248="","",R248+Reference_Data!$AL$6)</f>
        <v/>
      </c>
      <c r="U248" s="31" t="str">
        <f aca="true">IF(C248="","",IF(Q248="Yes","Decertification Record",IF(J248="","—",IF(COUNTIFS($C$5:$C$304,C248,$F$5:$F$304,F248,$J$5:$J$304,"&gt;"&amp;J248)&gt;0,"Superseded",IF(COUNTIFS($C$5:$C$304,C248,$F$5:$F$304,F248,$R$5:$R$304,"&gt;="&amp;J248)&gt;0,"Decertified",IF(K248&lt;TODAY(),"Expired","Active"))))))</f>
        <v/>
      </c>
      <c r="V248" s="37"/>
      <c r="W248" s="12"/>
    </row>
    <row r="249" customFormat="false" ht="15" hidden="false" customHeight="false" outlineLevel="0" collapsed="false">
      <c r="A249" s="37"/>
      <c r="B249" s="38"/>
      <c r="C249" s="37"/>
      <c r="D249" s="31" t="str">
        <f aca="false">IF($C249="","",IFERROR(INDEX(Employee_Master!$B$5:$B$104,MATCH($C249,Employee_Master!$A$5:$A$104,0)),"ID not found"))</f>
        <v/>
      </c>
      <c r="E249" s="31" t="str">
        <f aca="false">IF($C249="","",IFERROR(INDEX(Employee_Master!$C$5:$C$104,MATCH($C249,Employee_Master!$A$5:$A$104,0)),"ID not found"))</f>
        <v/>
      </c>
      <c r="F249" s="37"/>
      <c r="G249" s="37"/>
      <c r="H249" s="37"/>
      <c r="I249" s="39"/>
      <c r="J249" s="38"/>
      <c r="K249" s="40" t="str">
        <f aca="false">IF(J249="","",EDATE(J249,Reference_Data!$AL$5))</f>
        <v/>
      </c>
      <c r="L249" s="37"/>
      <c r="M249" s="12"/>
      <c r="N249" s="41"/>
      <c r="O249" s="37"/>
      <c r="P249" s="31" t="str">
        <f aca="false">IF(O249="","",IFERROR(INDEX(Reference_Data!$J$5:$J$14,MATCH(O249,Reference_Data!$H$5:$H$14,0)),""))</f>
        <v/>
      </c>
      <c r="Q249" s="37"/>
      <c r="R249" s="38"/>
      <c r="S249" s="12"/>
      <c r="T249" s="40" t="str">
        <f aca="false">IF(R249="","",R249+Reference_Data!$AL$6)</f>
        <v/>
      </c>
      <c r="U249" s="31" t="str">
        <f aca="true">IF(C249="","",IF(Q249="Yes","Decertification Record",IF(J249="","—",IF(COUNTIFS($C$5:$C$304,C249,$F$5:$F$304,F249,$J$5:$J$304,"&gt;"&amp;J249)&gt;0,"Superseded",IF(COUNTIFS($C$5:$C$304,C249,$F$5:$F$304,F249,$R$5:$R$304,"&gt;="&amp;J249)&gt;0,"Decertified",IF(K249&lt;TODAY(),"Expired","Active"))))))</f>
        <v/>
      </c>
      <c r="V249" s="37"/>
      <c r="W249" s="12"/>
    </row>
    <row r="250" customFormat="false" ht="15" hidden="false" customHeight="false" outlineLevel="0" collapsed="false">
      <c r="A250" s="37"/>
      <c r="B250" s="38"/>
      <c r="C250" s="37"/>
      <c r="D250" s="31" t="str">
        <f aca="false">IF($C250="","",IFERROR(INDEX(Employee_Master!$B$5:$B$104,MATCH($C250,Employee_Master!$A$5:$A$104,0)),"ID not found"))</f>
        <v/>
      </c>
      <c r="E250" s="31" t="str">
        <f aca="false">IF($C250="","",IFERROR(INDEX(Employee_Master!$C$5:$C$104,MATCH($C250,Employee_Master!$A$5:$A$104,0)),"ID not found"))</f>
        <v/>
      </c>
      <c r="F250" s="37"/>
      <c r="G250" s="37"/>
      <c r="H250" s="37"/>
      <c r="I250" s="39"/>
      <c r="J250" s="38"/>
      <c r="K250" s="40" t="str">
        <f aca="false">IF(J250="","",EDATE(J250,Reference_Data!$AL$5))</f>
        <v/>
      </c>
      <c r="L250" s="37"/>
      <c r="M250" s="12"/>
      <c r="N250" s="41"/>
      <c r="O250" s="37"/>
      <c r="P250" s="31" t="str">
        <f aca="false">IF(O250="","",IFERROR(INDEX(Reference_Data!$J$5:$J$14,MATCH(O250,Reference_Data!$H$5:$H$14,0)),""))</f>
        <v/>
      </c>
      <c r="Q250" s="37"/>
      <c r="R250" s="38"/>
      <c r="S250" s="12"/>
      <c r="T250" s="40" t="str">
        <f aca="false">IF(R250="","",R250+Reference_Data!$AL$6)</f>
        <v/>
      </c>
      <c r="U250" s="31" t="str">
        <f aca="true">IF(C250="","",IF(Q250="Yes","Decertification Record",IF(J250="","—",IF(COUNTIFS($C$5:$C$304,C250,$F$5:$F$304,F250,$J$5:$J$304,"&gt;"&amp;J250)&gt;0,"Superseded",IF(COUNTIFS($C$5:$C$304,C250,$F$5:$F$304,F250,$R$5:$R$304,"&gt;="&amp;J250)&gt;0,"Decertified",IF(K250&lt;TODAY(),"Expired","Active"))))))</f>
        <v/>
      </c>
      <c r="V250" s="37"/>
      <c r="W250" s="12"/>
    </row>
    <row r="251" customFormat="false" ht="15" hidden="false" customHeight="false" outlineLevel="0" collapsed="false">
      <c r="A251" s="37"/>
      <c r="B251" s="38"/>
      <c r="C251" s="37"/>
      <c r="D251" s="31" t="str">
        <f aca="false">IF($C251="","",IFERROR(INDEX(Employee_Master!$B$5:$B$104,MATCH($C251,Employee_Master!$A$5:$A$104,0)),"ID not found"))</f>
        <v/>
      </c>
      <c r="E251" s="31" t="str">
        <f aca="false">IF($C251="","",IFERROR(INDEX(Employee_Master!$C$5:$C$104,MATCH($C251,Employee_Master!$A$5:$A$104,0)),"ID not found"))</f>
        <v/>
      </c>
      <c r="F251" s="37"/>
      <c r="G251" s="37"/>
      <c r="H251" s="37"/>
      <c r="I251" s="39"/>
      <c r="J251" s="38"/>
      <c r="K251" s="40" t="str">
        <f aca="false">IF(J251="","",EDATE(J251,Reference_Data!$AL$5))</f>
        <v/>
      </c>
      <c r="L251" s="37"/>
      <c r="M251" s="12"/>
      <c r="N251" s="41"/>
      <c r="O251" s="37"/>
      <c r="P251" s="31" t="str">
        <f aca="false">IF(O251="","",IFERROR(INDEX(Reference_Data!$J$5:$J$14,MATCH(O251,Reference_Data!$H$5:$H$14,0)),""))</f>
        <v/>
      </c>
      <c r="Q251" s="37"/>
      <c r="R251" s="38"/>
      <c r="S251" s="12"/>
      <c r="T251" s="40" t="str">
        <f aca="false">IF(R251="","",R251+Reference_Data!$AL$6)</f>
        <v/>
      </c>
      <c r="U251" s="31" t="str">
        <f aca="true">IF(C251="","",IF(Q251="Yes","Decertification Record",IF(J251="","—",IF(COUNTIFS($C$5:$C$304,C251,$F$5:$F$304,F251,$J$5:$J$304,"&gt;"&amp;J251)&gt;0,"Superseded",IF(COUNTIFS($C$5:$C$304,C251,$F$5:$F$304,F251,$R$5:$R$304,"&gt;="&amp;J251)&gt;0,"Decertified",IF(K251&lt;TODAY(),"Expired","Active"))))))</f>
        <v/>
      </c>
      <c r="V251" s="37"/>
      <c r="W251" s="12"/>
    </row>
    <row r="252" customFormat="false" ht="15" hidden="false" customHeight="false" outlineLevel="0" collapsed="false">
      <c r="A252" s="37"/>
      <c r="B252" s="38"/>
      <c r="C252" s="37"/>
      <c r="D252" s="31" t="str">
        <f aca="false">IF($C252="","",IFERROR(INDEX(Employee_Master!$B$5:$B$104,MATCH($C252,Employee_Master!$A$5:$A$104,0)),"ID not found"))</f>
        <v/>
      </c>
      <c r="E252" s="31" t="str">
        <f aca="false">IF($C252="","",IFERROR(INDEX(Employee_Master!$C$5:$C$104,MATCH($C252,Employee_Master!$A$5:$A$104,0)),"ID not found"))</f>
        <v/>
      </c>
      <c r="F252" s="37"/>
      <c r="G252" s="37"/>
      <c r="H252" s="37"/>
      <c r="I252" s="39"/>
      <c r="J252" s="38"/>
      <c r="K252" s="40" t="str">
        <f aca="false">IF(J252="","",EDATE(J252,Reference_Data!$AL$5))</f>
        <v/>
      </c>
      <c r="L252" s="37"/>
      <c r="M252" s="12"/>
      <c r="N252" s="41"/>
      <c r="O252" s="37"/>
      <c r="P252" s="31" t="str">
        <f aca="false">IF(O252="","",IFERROR(INDEX(Reference_Data!$J$5:$J$14,MATCH(O252,Reference_Data!$H$5:$H$14,0)),""))</f>
        <v/>
      </c>
      <c r="Q252" s="37"/>
      <c r="R252" s="38"/>
      <c r="S252" s="12"/>
      <c r="T252" s="40" t="str">
        <f aca="false">IF(R252="","",R252+Reference_Data!$AL$6)</f>
        <v/>
      </c>
      <c r="U252" s="31" t="str">
        <f aca="true">IF(C252="","",IF(Q252="Yes","Decertification Record",IF(J252="","—",IF(COUNTIFS($C$5:$C$304,C252,$F$5:$F$304,F252,$J$5:$J$304,"&gt;"&amp;J252)&gt;0,"Superseded",IF(COUNTIFS($C$5:$C$304,C252,$F$5:$F$304,F252,$R$5:$R$304,"&gt;="&amp;J252)&gt;0,"Decertified",IF(K252&lt;TODAY(),"Expired","Active"))))))</f>
        <v/>
      </c>
      <c r="V252" s="37"/>
      <c r="W252" s="12"/>
    </row>
    <row r="253" customFormat="false" ht="15" hidden="false" customHeight="false" outlineLevel="0" collapsed="false">
      <c r="A253" s="37"/>
      <c r="B253" s="38"/>
      <c r="C253" s="37"/>
      <c r="D253" s="31" t="str">
        <f aca="false">IF($C253="","",IFERROR(INDEX(Employee_Master!$B$5:$B$104,MATCH($C253,Employee_Master!$A$5:$A$104,0)),"ID not found"))</f>
        <v/>
      </c>
      <c r="E253" s="31" t="str">
        <f aca="false">IF($C253="","",IFERROR(INDEX(Employee_Master!$C$5:$C$104,MATCH($C253,Employee_Master!$A$5:$A$104,0)),"ID not found"))</f>
        <v/>
      </c>
      <c r="F253" s="37"/>
      <c r="G253" s="37"/>
      <c r="H253" s="37"/>
      <c r="I253" s="39"/>
      <c r="J253" s="38"/>
      <c r="K253" s="40" t="str">
        <f aca="false">IF(J253="","",EDATE(J253,Reference_Data!$AL$5))</f>
        <v/>
      </c>
      <c r="L253" s="37"/>
      <c r="M253" s="12"/>
      <c r="N253" s="41"/>
      <c r="O253" s="37"/>
      <c r="P253" s="31" t="str">
        <f aca="false">IF(O253="","",IFERROR(INDEX(Reference_Data!$J$5:$J$14,MATCH(O253,Reference_Data!$H$5:$H$14,0)),""))</f>
        <v/>
      </c>
      <c r="Q253" s="37"/>
      <c r="R253" s="38"/>
      <c r="S253" s="12"/>
      <c r="T253" s="40" t="str">
        <f aca="false">IF(R253="","",R253+Reference_Data!$AL$6)</f>
        <v/>
      </c>
      <c r="U253" s="31" t="str">
        <f aca="true">IF(C253="","",IF(Q253="Yes","Decertification Record",IF(J253="","—",IF(COUNTIFS($C$5:$C$304,C253,$F$5:$F$304,F253,$J$5:$J$304,"&gt;"&amp;J253)&gt;0,"Superseded",IF(COUNTIFS($C$5:$C$304,C253,$F$5:$F$304,F253,$R$5:$R$304,"&gt;="&amp;J253)&gt;0,"Decertified",IF(K253&lt;TODAY(),"Expired","Active"))))))</f>
        <v/>
      </c>
      <c r="V253" s="37"/>
      <c r="W253" s="12"/>
    </row>
    <row r="254" customFormat="false" ht="15" hidden="false" customHeight="false" outlineLevel="0" collapsed="false">
      <c r="A254" s="37"/>
      <c r="B254" s="38"/>
      <c r="C254" s="37"/>
      <c r="D254" s="31" t="str">
        <f aca="false">IF($C254="","",IFERROR(INDEX(Employee_Master!$B$5:$B$104,MATCH($C254,Employee_Master!$A$5:$A$104,0)),"ID not found"))</f>
        <v/>
      </c>
      <c r="E254" s="31" t="str">
        <f aca="false">IF($C254="","",IFERROR(INDEX(Employee_Master!$C$5:$C$104,MATCH($C254,Employee_Master!$A$5:$A$104,0)),"ID not found"))</f>
        <v/>
      </c>
      <c r="F254" s="37"/>
      <c r="G254" s="37"/>
      <c r="H254" s="37"/>
      <c r="I254" s="39"/>
      <c r="J254" s="38"/>
      <c r="K254" s="40" t="str">
        <f aca="false">IF(J254="","",EDATE(J254,Reference_Data!$AL$5))</f>
        <v/>
      </c>
      <c r="L254" s="37"/>
      <c r="M254" s="12"/>
      <c r="N254" s="41"/>
      <c r="O254" s="37"/>
      <c r="P254" s="31" t="str">
        <f aca="false">IF(O254="","",IFERROR(INDEX(Reference_Data!$J$5:$J$14,MATCH(O254,Reference_Data!$H$5:$H$14,0)),""))</f>
        <v/>
      </c>
      <c r="Q254" s="37"/>
      <c r="R254" s="38"/>
      <c r="S254" s="12"/>
      <c r="T254" s="40" t="str">
        <f aca="false">IF(R254="","",R254+Reference_Data!$AL$6)</f>
        <v/>
      </c>
      <c r="U254" s="31" t="str">
        <f aca="true">IF(C254="","",IF(Q254="Yes","Decertification Record",IF(J254="","—",IF(COUNTIFS($C$5:$C$304,C254,$F$5:$F$304,F254,$J$5:$J$304,"&gt;"&amp;J254)&gt;0,"Superseded",IF(COUNTIFS($C$5:$C$304,C254,$F$5:$F$304,F254,$R$5:$R$304,"&gt;="&amp;J254)&gt;0,"Decertified",IF(K254&lt;TODAY(),"Expired","Active"))))))</f>
        <v/>
      </c>
      <c r="V254" s="37"/>
      <c r="W254" s="12"/>
    </row>
    <row r="255" customFormat="false" ht="15" hidden="false" customHeight="false" outlineLevel="0" collapsed="false">
      <c r="A255" s="37"/>
      <c r="B255" s="38"/>
      <c r="C255" s="37"/>
      <c r="D255" s="31" t="str">
        <f aca="false">IF($C255="","",IFERROR(INDEX(Employee_Master!$B$5:$B$104,MATCH($C255,Employee_Master!$A$5:$A$104,0)),"ID not found"))</f>
        <v/>
      </c>
      <c r="E255" s="31" t="str">
        <f aca="false">IF($C255="","",IFERROR(INDEX(Employee_Master!$C$5:$C$104,MATCH($C255,Employee_Master!$A$5:$A$104,0)),"ID not found"))</f>
        <v/>
      </c>
      <c r="F255" s="37"/>
      <c r="G255" s="37"/>
      <c r="H255" s="37"/>
      <c r="I255" s="39"/>
      <c r="J255" s="38"/>
      <c r="K255" s="40" t="str">
        <f aca="false">IF(J255="","",EDATE(J255,Reference_Data!$AL$5))</f>
        <v/>
      </c>
      <c r="L255" s="37"/>
      <c r="M255" s="12"/>
      <c r="N255" s="41"/>
      <c r="O255" s="37"/>
      <c r="P255" s="31" t="str">
        <f aca="false">IF(O255="","",IFERROR(INDEX(Reference_Data!$J$5:$J$14,MATCH(O255,Reference_Data!$H$5:$H$14,0)),""))</f>
        <v/>
      </c>
      <c r="Q255" s="37"/>
      <c r="R255" s="38"/>
      <c r="S255" s="12"/>
      <c r="T255" s="40" t="str">
        <f aca="false">IF(R255="","",R255+Reference_Data!$AL$6)</f>
        <v/>
      </c>
      <c r="U255" s="31" t="str">
        <f aca="true">IF(C255="","",IF(Q255="Yes","Decertification Record",IF(J255="","—",IF(COUNTIFS($C$5:$C$304,C255,$F$5:$F$304,F255,$J$5:$J$304,"&gt;"&amp;J255)&gt;0,"Superseded",IF(COUNTIFS($C$5:$C$304,C255,$F$5:$F$304,F255,$R$5:$R$304,"&gt;="&amp;J255)&gt;0,"Decertified",IF(K255&lt;TODAY(),"Expired","Active"))))))</f>
        <v/>
      </c>
      <c r="V255" s="37"/>
      <c r="W255" s="12"/>
    </row>
    <row r="256" customFormat="false" ht="15" hidden="false" customHeight="false" outlineLevel="0" collapsed="false">
      <c r="A256" s="37"/>
      <c r="B256" s="38"/>
      <c r="C256" s="37"/>
      <c r="D256" s="31" t="str">
        <f aca="false">IF($C256="","",IFERROR(INDEX(Employee_Master!$B$5:$B$104,MATCH($C256,Employee_Master!$A$5:$A$104,0)),"ID not found"))</f>
        <v/>
      </c>
      <c r="E256" s="31" t="str">
        <f aca="false">IF($C256="","",IFERROR(INDEX(Employee_Master!$C$5:$C$104,MATCH($C256,Employee_Master!$A$5:$A$104,0)),"ID not found"))</f>
        <v/>
      </c>
      <c r="F256" s="37"/>
      <c r="G256" s="37"/>
      <c r="H256" s="37"/>
      <c r="I256" s="39"/>
      <c r="J256" s="38"/>
      <c r="K256" s="40" t="str">
        <f aca="false">IF(J256="","",EDATE(J256,Reference_Data!$AL$5))</f>
        <v/>
      </c>
      <c r="L256" s="37"/>
      <c r="M256" s="12"/>
      <c r="N256" s="41"/>
      <c r="O256" s="37"/>
      <c r="P256" s="31" t="str">
        <f aca="false">IF(O256="","",IFERROR(INDEX(Reference_Data!$J$5:$J$14,MATCH(O256,Reference_Data!$H$5:$H$14,0)),""))</f>
        <v/>
      </c>
      <c r="Q256" s="37"/>
      <c r="R256" s="38"/>
      <c r="S256" s="12"/>
      <c r="T256" s="40" t="str">
        <f aca="false">IF(R256="","",R256+Reference_Data!$AL$6)</f>
        <v/>
      </c>
      <c r="U256" s="31" t="str">
        <f aca="true">IF(C256="","",IF(Q256="Yes","Decertification Record",IF(J256="","—",IF(COUNTIFS($C$5:$C$304,C256,$F$5:$F$304,F256,$J$5:$J$304,"&gt;"&amp;J256)&gt;0,"Superseded",IF(COUNTIFS($C$5:$C$304,C256,$F$5:$F$304,F256,$R$5:$R$304,"&gt;="&amp;J256)&gt;0,"Decertified",IF(K256&lt;TODAY(),"Expired","Active"))))))</f>
        <v/>
      </c>
      <c r="V256" s="37"/>
      <c r="W256" s="12"/>
    </row>
    <row r="257" customFormat="false" ht="15" hidden="false" customHeight="false" outlineLevel="0" collapsed="false">
      <c r="A257" s="37"/>
      <c r="B257" s="38"/>
      <c r="C257" s="37"/>
      <c r="D257" s="31" t="str">
        <f aca="false">IF($C257="","",IFERROR(INDEX(Employee_Master!$B$5:$B$104,MATCH($C257,Employee_Master!$A$5:$A$104,0)),"ID not found"))</f>
        <v/>
      </c>
      <c r="E257" s="31" t="str">
        <f aca="false">IF($C257="","",IFERROR(INDEX(Employee_Master!$C$5:$C$104,MATCH($C257,Employee_Master!$A$5:$A$104,0)),"ID not found"))</f>
        <v/>
      </c>
      <c r="F257" s="37"/>
      <c r="G257" s="37"/>
      <c r="H257" s="37"/>
      <c r="I257" s="39"/>
      <c r="J257" s="38"/>
      <c r="K257" s="40" t="str">
        <f aca="false">IF(J257="","",EDATE(J257,Reference_Data!$AL$5))</f>
        <v/>
      </c>
      <c r="L257" s="37"/>
      <c r="M257" s="12"/>
      <c r="N257" s="41"/>
      <c r="O257" s="37"/>
      <c r="P257" s="31" t="str">
        <f aca="false">IF(O257="","",IFERROR(INDEX(Reference_Data!$J$5:$J$14,MATCH(O257,Reference_Data!$H$5:$H$14,0)),""))</f>
        <v/>
      </c>
      <c r="Q257" s="37"/>
      <c r="R257" s="38"/>
      <c r="S257" s="12"/>
      <c r="T257" s="40" t="str">
        <f aca="false">IF(R257="","",R257+Reference_Data!$AL$6)</f>
        <v/>
      </c>
      <c r="U257" s="31" t="str">
        <f aca="true">IF(C257="","",IF(Q257="Yes","Decertification Record",IF(J257="","—",IF(COUNTIFS($C$5:$C$304,C257,$F$5:$F$304,F257,$J$5:$J$304,"&gt;"&amp;J257)&gt;0,"Superseded",IF(COUNTIFS($C$5:$C$304,C257,$F$5:$F$304,F257,$R$5:$R$304,"&gt;="&amp;J257)&gt;0,"Decertified",IF(K257&lt;TODAY(),"Expired","Active"))))))</f>
        <v/>
      </c>
      <c r="V257" s="37"/>
      <c r="W257" s="12"/>
    </row>
    <row r="258" customFormat="false" ht="15" hidden="false" customHeight="false" outlineLevel="0" collapsed="false">
      <c r="A258" s="37"/>
      <c r="B258" s="38"/>
      <c r="C258" s="37"/>
      <c r="D258" s="31" t="str">
        <f aca="false">IF($C258="","",IFERROR(INDEX(Employee_Master!$B$5:$B$104,MATCH($C258,Employee_Master!$A$5:$A$104,0)),"ID not found"))</f>
        <v/>
      </c>
      <c r="E258" s="31" t="str">
        <f aca="false">IF($C258="","",IFERROR(INDEX(Employee_Master!$C$5:$C$104,MATCH($C258,Employee_Master!$A$5:$A$104,0)),"ID not found"))</f>
        <v/>
      </c>
      <c r="F258" s="37"/>
      <c r="G258" s="37"/>
      <c r="H258" s="37"/>
      <c r="I258" s="39"/>
      <c r="J258" s="38"/>
      <c r="K258" s="40" t="str">
        <f aca="false">IF(J258="","",EDATE(J258,Reference_Data!$AL$5))</f>
        <v/>
      </c>
      <c r="L258" s="37"/>
      <c r="M258" s="12"/>
      <c r="N258" s="41"/>
      <c r="O258" s="37"/>
      <c r="P258" s="31" t="str">
        <f aca="false">IF(O258="","",IFERROR(INDEX(Reference_Data!$J$5:$J$14,MATCH(O258,Reference_Data!$H$5:$H$14,0)),""))</f>
        <v/>
      </c>
      <c r="Q258" s="37"/>
      <c r="R258" s="38"/>
      <c r="S258" s="12"/>
      <c r="T258" s="40" t="str">
        <f aca="false">IF(R258="","",R258+Reference_Data!$AL$6)</f>
        <v/>
      </c>
      <c r="U258" s="31" t="str">
        <f aca="true">IF(C258="","",IF(Q258="Yes","Decertification Record",IF(J258="","—",IF(COUNTIFS($C$5:$C$304,C258,$F$5:$F$304,F258,$J$5:$J$304,"&gt;"&amp;J258)&gt;0,"Superseded",IF(COUNTIFS($C$5:$C$304,C258,$F$5:$F$304,F258,$R$5:$R$304,"&gt;="&amp;J258)&gt;0,"Decertified",IF(K258&lt;TODAY(),"Expired","Active"))))))</f>
        <v/>
      </c>
      <c r="V258" s="37"/>
      <c r="W258" s="12"/>
    </row>
    <row r="259" customFormat="false" ht="15" hidden="false" customHeight="false" outlineLevel="0" collapsed="false">
      <c r="A259" s="37"/>
      <c r="B259" s="38"/>
      <c r="C259" s="37"/>
      <c r="D259" s="31" t="str">
        <f aca="false">IF($C259="","",IFERROR(INDEX(Employee_Master!$B$5:$B$104,MATCH($C259,Employee_Master!$A$5:$A$104,0)),"ID not found"))</f>
        <v/>
      </c>
      <c r="E259" s="31" t="str">
        <f aca="false">IF($C259="","",IFERROR(INDEX(Employee_Master!$C$5:$C$104,MATCH($C259,Employee_Master!$A$5:$A$104,0)),"ID not found"))</f>
        <v/>
      </c>
      <c r="F259" s="37"/>
      <c r="G259" s="37"/>
      <c r="H259" s="37"/>
      <c r="I259" s="39"/>
      <c r="J259" s="38"/>
      <c r="K259" s="40" t="str">
        <f aca="false">IF(J259="","",EDATE(J259,Reference_Data!$AL$5))</f>
        <v/>
      </c>
      <c r="L259" s="37"/>
      <c r="M259" s="12"/>
      <c r="N259" s="41"/>
      <c r="O259" s="37"/>
      <c r="P259" s="31" t="str">
        <f aca="false">IF(O259="","",IFERROR(INDEX(Reference_Data!$J$5:$J$14,MATCH(O259,Reference_Data!$H$5:$H$14,0)),""))</f>
        <v/>
      </c>
      <c r="Q259" s="37"/>
      <c r="R259" s="38"/>
      <c r="S259" s="12"/>
      <c r="T259" s="40" t="str">
        <f aca="false">IF(R259="","",R259+Reference_Data!$AL$6)</f>
        <v/>
      </c>
      <c r="U259" s="31" t="str">
        <f aca="true">IF(C259="","",IF(Q259="Yes","Decertification Record",IF(J259="","—",IF(COUNTIFS($C$5:$C$304,C259,$F$5:$F$304,F259,$J$5:$J$304,"&gt;"&amp;J259)&gt;0,"Superseded",IF(COUNTIFS($C$5:$C$304,C259,$F$5:$F$304,F259,$R$5:$R$304,"&gt;="&amp;J259)&gt;0,"Decertified",IF(K259&lt;TODAY(),"Expired","Active"))))))</f>
        <v/>
      </c>
      <c r="V259" s="37"/>
      <c r="W259" s="12"/>
    </row>
    <row r="260" customFormat="false" ht="15" hidden="false" customHeight="false" outlineLevel="0" collapsed="false">
      <c r="A260" s="37"/>
      <c r="B260" s="38"/>
      <c r="C260" s="37"/>
      <c r="D260" s="31" t="str">
        <f aca="false">IF($C260="","",IFERROR(INDEX(Employee_Master!$B$5:$B$104,MATCH($C260,Employee_Master!$A$5:$A$104,0)),"ID not found"))</f>
        <v/>
      </c>
      <c r="E260" s="31" t="str">
        <f aca="false">IF($C260="","",IFERROR(INDEX(Employee_Master!$C$5:$C$104,MATCH($C260,Employee_Master!$A$5:$A$104,0)),"ID not found"))</f>
        <v/>
      </c>
      <c r="F260" s="37"/>
      <c r="G260" s="37"/>
      <c r="H260" s="37"/>
      <c r="I260" s="39"/>
      <c r="J260" s="38"/>
      <c r="K260" s="40" t="str">
        <f aca="false">IF(J260="","",EDATE(J260,Reference_Data!$AL$5))</f>
        <v/>
      </c>
      <c r="L260" s="37"/>
      <c r="M260" s="12"/>
      <c r="N260" s="41"/>
      <c r="O260" s="37"/>
      <c r="P260" s="31" t="str">
        <f aca="false">IF(O260="","",IFERROR(INDEX(Reference_Data!$J$5:$J$14,MATCH(O260,Reference_Data!$H$5:$H$14,0)),""))</f>
        <v/>
      </c>
      <c r="Q260" s="37"/>
      <c r="R260" s="38"/>
      <c r="S260" s="12"/>
      <c r="T260" s="40" t="str">
        <f aca="false">IF(R260="","",R260+Reference_Data!$AL$6)</f>
        <v/>
      </c>
      <c r="U260" s="31" t="str">
        <f aca="true">IF(C260="","",IF(Q260="Yes","Decertification Record",IF(J260="","—",IF(COUNTIFS($C$5:$C$304,C260,$F$5:$F$304,F260,$J$5:$J$304,"&gt;"&amp;J260)&gt;0,"Superseded",IF(COUNTIFS($C$5:$C$304,C260,$F$5:$F$304,F260,$R$5:$R$304,"&gt;="&amp;J260)&gt;0,"Decertified",IF(K260&lt;TODAY(),"Expired","Active"))))))</f>
        <v/>
      </c>
      <c r="V260" s="37"/>
      <c r="W260" s="12"/>
    </row>
    <row r="261" customFormat="false" ht="15" hidden="false" customHeight="false" outlineLevel="0" collapsed="false">
      <c r="A261" s="37"/>
      <c r="B261" s="38"/>
      <c r="C261" s="37"/>
      <c r="D261" s="31" t="str">
        <f aca="false">IF($C261="","",IFERROR(INDEX(Employee_Master!$B$5:$B$104,MATCH($C261,Employee_Master!$A$5:$A$104,0)),"ID not found"))</f>
        <v/>
      </c>
      <c r="E261" s="31" t="str">
        <f aca="false">IF($C261="","",IFERROR(INDEX(Employee_Master!$C$5:$C$104,MATCH($C261,Employee_Master!$A$5:$A$104,0)),"ID not found"))</f>
        <v/>
      </c>
      <c r="F261" s="37"/>
      <c r="G261" s="37"/>
      <c r="H261" s="37"/>
      <c r="I261" s="39"/>
      <c r="J261" s="38"/>
      <c r="K261" s="40" t="str">
        <f aca="false">IF(J261="","",EDATE(J261,Reference_Data!$AL$5))</f>
        <v/>
      </c>
      <c r="L261" s="37"/>
      <c r="M261" s="12"/>
      <c r="N261" s="41"/>
      <c r="O261" s="37"/>
      <c r="P261" s="31" t="str">
        <f aca="false">IF(O261="","",IFERROR(INDEX(Reference_Data!$J$5:$J$14,MATCH(O261,Reference_Data!$H$5:$H$14,0)),""))</f>
        <v/>
      </c>
      <c r="Q261" s="37"/>
      <c r="R261" s="38"/>
      <c r="S261" s="12"/>
      <c r="T261" s="40" t="str">
        <f aca="false">IF(R261="","",R261+Reference_Data!$AL$6)</f>
        <v/>
      </c>
      <c r="U261" s="31" t="str">
        <f aca="true">IF(C261="","",IF(Q261="Yes","Decertification Record",IF(J261="","—",IF(COUNTIFS($C$5:$C$304,C261,$F$5:$F$304,F261,$J$5:$J$304,"&gt;"&amp;J261)&gt;0,"Superseded",IF(COUNTIFS($C$5:$C$304,C261,$F$5:$F$304,F261,$R$5:$R$304,"&gt;="&amp;J261)&gt;0,"Decertified",IF(K261&lt;TODAY(),"Expired","Active"))))))</f>
        <v/>
      </c>
      <c r="V261" s="37"/>
      <c r="W261" s="12"/>
    </row>
    <row r="262" customFormat="false" ht="15" hidden="false" customHeight="false" outlineLevel="0" collapsed="false">
      <c r="A262" s="37"/>
      <c r="B262" s="38"/>
      <c r="C262" s="37"/>
      <c r="D262" s="31" t="str">
        <f aca="false">IF($C262="","",IFERROR(INDEX(Employee_Master!$B$5:$B$104,MATCH($C262,Employee_Master!$A$5:$A$104,0)),"ID not found"))</f>
        <v/>
      </c>
      <c r="E262" s="31" t="str">
        <f aca="false">IF($C262="","",IFERROR(INDEX(Employee_Master!$C$5:$C$104,MATCH($C262,Employee_Master!$A$5:$A$104,0)),"ID not found"))</f>
        <v/>
      </c>
      <c r="F262" s="37"/>
      <c r="G262" s="37"/>
      <c r="H262" s="37"/>
      <c r="I262" s="39"/>
      <c r="J262" s="38"/>
      <c r="K262" s="40" t="str">
        <f aca="false">IF(J262="","",EDATE(J262,Reference_Data!$AL$5))</f>
        <v/>
      </c>
      <c r="L262" s="37"/>
      <c r="M262" s="12"/>
      <c r="N262" s="41"/>
      <c r="O262" s="37"/>
      <c r="P262" s="31" t="str">
        <f aca="false">IF(O262="","",IFERROR(INDEX(Reference_Data!$J$5:$J$14,MATCH(O262,Reference_Data!$H$5:$H$14,0)),""))</f>
        <v/>
      </c>
      <c r="Q262" s="37"/>
      <c r="R262" s="38"/>
      <c r="S262" s="12"/>
      <c r="T262" s="40" t="str">
        <f aca="false">IF(R262="","",R262+Reference_Data!$AL$6)</f>
        <v/>
      </c>
      <c r="U262" s="31" t="str">
        <f aca="true">IF(C262="","",IF(Q262="Yes","Decertification Record",IF(J262="","—",IF(COUNTIFS($C$5:$C$304,C262,$F$5:$F$304,F262,$J$5:$J$304,"&gt;"&amp;J262)&gt;0,"Superseded",IF(COUNTIFS($C$5:$C$304,C262,$F$5:$F$304,F262,$R$5:$R$304,"&gt;="&amp;J262)&gt;0,"Decertified",IF(K262&lt;TODAY(),"Expired","Active"))))))</f>
        <v/>
      </c>
      <c r="V262" s="37"/>
      <c r="W262" s="12"/>
    </row>
    <row r="263" customFormat="false" ht="15" hidden="false" customHeight="false" outlineLevel="0" collapsed="false">
      <c r="A263" s="37"/>
      <c r="B263" s="38"/>
      <c r="C263" s="37"/>
      <c r="D263" s="31" t="str">
        <f aca="false">IF($C263="","",IFERROR(INDEX(Employee_Master!$B$5:$B$104,MATCH($C263,Employee_Master!$A$5:$A$104,0)),"ID not found"))</f>
        <v/>
      </c>
      <c r="E263" s="31" t="str">
        <f aca="false">IF($C263="","",IFERROR(INDEX(Employee_Master!$C$5:$C$104,MATCH($C263,Employee_Master!$A$5:$A$104,0)),"ID not found"))</f>
        <v/>
      </c>
      <c r="F263" s="37"/>
      <c r="G263" s="37"/>
      <c r="H263" s="37"/>
      <c r="I263" s="39"/>
      <c r="J263" s="38"/>
      <c r="K263" s="40" t="str">
        <f aca="false">IF(J263="","",EDATE(J263,Reference_Data!$AL$5))</f>
        <v/>
      </c>
      <c r="L263" s="37"/>
      <c r="M263" s="12"/>
      <c r="N263" s="41"/>
      <c r="O263" s="37"/>
      <c r="P263" s="31" t="str">
        <f aca="false">IF(O263="","",IFERROR(INDEX(Reference_Data!$J$5:$J$14,MATCH(O263,Reference_Data!$H$5:$H$14,0)),""))</f>
        <v/>
      </c>
      <c r="Q263" s="37"/>
      <c r="R263" s="38"/>
      <c r="S263" s="12"/>
      <c r="T263" s="40" t="str">
        <f aca="false">IF(R263="","",R263+Reference_Data!$AL$6)</f>
        <v/>
      </c>
      <c r="U263" s="31" t="str">
        <f aca="true">IF(C263="","",IF(Q263="Yes","Decertification Record",IF(J263="","—",IF(COUNTIFS($C$5:$C$304,C263,$F$5:$F$304,F263,$J$5:$J$304,"&gt;"&amp;J263)&gt;0,"Superseded",IF(COUNTIFS($C$5:$C$304,C263,$F$5:$F$304,F263,$R$5:$R$304,"&gt;="&amp;J263)&gt;0,"Decertified",IF(K263&lt;TODAY(),"Expired","Active"))))))</f>
        <v/>
      </c>
      <c r="V263" s="37"/>
      <c r="W263" s="12"/>
    </row>
    <row r="264" customFormat="false" ht="15" hidden="false" customHeight="false" outlineLevel="0" collapsed="false">
      <c r="A264" s="37"/>
      <c r="B264" s="38"/>
      <c r="C264" s="37"/>
      <c r="D264" s="31" t="str">
        <f aca="false">IF($C264="","",IFERROR(INDEX(Employee_Master!$B$5:$B$104,MATCH($C264,Employee_Master!$A$5:$A$104,0)),"ID not found"))</f>
        <v/>
      </c>
      <c r="E264" s="31" t="str">
        <f aca="false">IF($C264="","",IFERROR(INDEX(Employee_Master!$C$5:$C$104,MATCH($C264,Employee_Master!$A$5:$A$104,0)),"ID not found"))</f>
        <v/>
      </c>
      <c r="F264" s="37"/>
      <c r="G264" s="37"/>
      <c r="H264" s="37"/>
      <c r="I264" s="39"/>
      <c r="J264" s="38"/>
      <c r="K264" s="40" t="str">
        <f aca="false">IF(J264="","",EDATE(J264,Reference_Data!$AL$5))</f>
        <v/>
      </c>
      <c r="L264" s="37"/>
      <c r="M264" s="12"/>
      <c r="N264" s="41"/>
      <c r="O264" s="37"/>
      <c r="P264" s="31" t="str">
        <f aca="false">IF(O264="","",IFERROR(INDEX(Reference_Data!$J$5:$J$14,MATCH(O264,Reference_Data!$H$5:$H$14,0)),""))</f>
        <v/>
      </c>
      <c r="Q264" s="37"/>
      <c r="R264" s="38"/>
      <c r="S264" s="12"/>
      <c r="T264" s="40" t="str">
        <f aca="false">IF(R264="","",R264+Reference_Data!$AL$6)</f>
        <v/>
      </c>
      <c r="U264" s="31" t="str">
        <f aca="true">IF(C264="","",IF(Q264="Yes","Decertification Record",IF(J264="","—",IF(COUNTIFS($C$5:$C$304,C264,$F$5:$F$304,F264,$J$5:$J$304,"&gt;"&amp;J264)&gt;0,"Superseded",IF(COUNTIFS($C$5:$C$304,C264,$F$5:$F$304,F264,$R$5:$R$304,"&gt;="&amp;J264)&gt;0,"Decertified",IF(K264&lt;TODAY(),"Expired","Active"))))))</f>
        <v/>
      </c>
      <c r="V264" s="37"/>
      <c r="W264" s="12"/>
    </row>
    <row r="265" customFormat="false" ht="15" hidden="false" customHeight="false" outlineLevel="0" collapsed="false">
      <c r="A265" s="37"/>
      <c r="B265" s="38"/>
      <c r="C265" s="37"/>
      <c r="D265" s="31" t="str">
        <f aca="false">IF($C265="","",IFERROR(INDEX(Employee_Master!$B$5:$B$104,MATCH($C265,Employee_Master!$A$5:$A$104,0)),"ID not found"))</f>
        <v/>
      </c>
      <c r="E265" s="31" t="str">
        <f aca="false">IF($C265="","",IFERROR(INDEX(Employee_Master!$C$5:$C$104,MATCH($C265,Employee_Master!$A$5:$A$104,0)),"ID not found"))</f>
        <v/>
      </c>
      <c r="F265" s="37"/>
      <c r="G265" s="37"/>
      <c r="H265" s="37"/>
      <c r="I265" s="39"/>
      <c r="J265" s="38"/>
      <c r="K265" s="40" t="str">
        <f aca="false">IF(J265="","",EDATE(J265,Reference_Data!$AL$5))</f>
        <v/>
      </c>
      <c r="L265" s="37"/>
      <c r="M265" s="12"/>
      <c r="N265" s="41"/>
      <c r="O265" s="37"/>
      <c r="P265" s="31" t="str">
        <f aca="false">IF(O265="","",IFERROR(INDEX(Reference_Data!$J$5:$J$14,MATCH(O265,Reference_Data!$H$5:$H$14,0)),""))</f>
        <v/>
      </c>
      <c r="Q265" s="37"/>
      <c r="R265" s="38"/>
      <c r="S265" s="12"/>
      <c r="T265" s="40" t="str">
        <f aca="false">IF(R265="","",R265+Reference_Data!$AL$6)</f>
        <v/>
      </c>
      <c r="U265" s="31" t="str">
        <f aca="true">IF(C265="","",IF(Q265="Yes","Decertification Record",IF(J265="","—",IF(COUNTIFS($C$5:$C$304,C265,$F$5:$F$304,F265,$J$5:$J$304,"&gt;"&amp;J265)&gt;0,"Superseded",IF(COUNTIFS($C$5:$C$304,C265,$F$5:$F$304,F265,$R$5:$R$304,"&gt;="&amp;J265)&gt;0,"Decertified",IF(K265&lt;TODAY(),"Expired","Active"))))))</f>
        <v/>
      </c>
      <c r="V265" s="37"/>
      <c r="W265" s="12"/>
    </row>
    <row r="266" customFormat="false" ht="15" hidden="false" customHeight="false" outlineLevel="0" collapsed="false">
      <c r="A266" s="37"/>
      <c r="B266" s="38"/>
      <c r="C266" s="37"/>
      <c r="D266" s="31" t="str">
        <f aca="false">IF($C266="","",IFERROR(INDEX(Employee_Master!$B$5:$B$104,MATCH($C266,Employee_Master!$A$5:$A$104,0)),"ID not found"))</f>
        <v/>
      </c>
      <c r="E266" s="31" t="str">
        <f aca="false">IF($C266="","",IFERROR(INDEX(Employee_Master!$C$5:$C$104,MATCH($C266,Employee_Master!$A$5:$A$104,0)),"ID not found"))</f>
        <v/>
      </c>
      <c r="F266" s="37"/>
      <c r="G266" s="37"/>
      <c r="H266" s="37"/>
      <c r="I266" s="39"/>
      <c r="J266" s="38"/>
      <c r="K266" s="40" t="str">
        <f aca="false">IF(J266="","",EDATE(J266,Reference_Data!$AL$5))</f>
        <v/>
      </c>
      <c r="L266" s="37"/>
      <c r="M266" s="12"/>
      <c r="N266" s="41"/>
      <c r="O266" s="37"/>
      <c r="P266" s="31" t="str">
        <f aca="false">IF(O266="","",IFERROR(INDEX(Reference_Data!$J$5:$J$14,MATCH(O266,Reference_Data!$H$5:$H$14,0)),""))</f>
        <v/>
      </c>
      <c r="Q266" s="37"/>
      <c r="R266" s="38"/>
      <c r="S266" s="12"/>
      <c r="T266" s="40" t="str">
        <f aca="false">IF(R266="","",R266+Reference_Data!$AL$6)</f>
        <v/>
      </c>
      <c r="U266" s="31" t="str">
        <f aca="true">IF(C266="","",IF(Q266="Yes","Decertification Record",IF(J266="","—",IF(COUNTIFS($C$5:$C$304,C266,$F$5:$F$304,F266,$J$5:$J$304,"&gt;"&amp;J266)&gt;0,"Superseded",IF(COUNTIFS($C$5:$C$304,C266,$F$5:$F$304,F266,$R$5:$R$304,"&gt;="&amp;J266)&gt;0,"Decertified",IF(K266&lt;TODAY(),"Expired","Active"))))))</f>
        <v/>
      </c>
      <c r="V266" s="37"/>
      <c r="W266" s="12"/>
    </row>
    <row r="267" customFormat="false" ht="15" hidden="false" customHeight="false" outlineLevel="0" collapsed="false">
      <c r="A267" s="37"/>
      <c r="B267" s="38"/>
      <c r="C267" s="37"/>
      <c r="D267" s="31" t="str">
        <f aca="false">IF($C267="","",IFERROR(INDEX(Employee_Master!$B$5:$B$104,MATCH($C267,Employee_Master!$A$5:$A$104,0)),"ID not found"))</f>
        <v/>
      </c>
      <c r="E267" s="31" t="str">
        <f aca="false">IF($C267="","",IFERROR(INDEX(Employee_Master!$C$5:$C$104,MATCH($C267,Employee_Master!$A$5:$A$104,0)),"ID not found"))</f>
        <v/>
      </c>
      <c r="F267" s="37"/>
      <c r="G267" s="37"/>
      <c r="H267" s="37"/>
      <c r="I267" s="39"/>
      <c r="J267" s="38"/>
      <c r="K267" s="40" t="str">
        <f aca="false">IF(J267="","",EDATE(J267,Reference_Data!$AL$5))</f>
        <v/>
      </c>
      <c r="L267" s="37"/>
      <c r="M267" s="12"/>
      <c r="N267" s="41"/>
      <c r="O267" s="37"/>
      <c r="P267" s="31" t="str">
        <f aca="false">IF(O267="","",IFERROR(INDEX(Reference_Data!$J$5:$J$14,MATCH(O267,Reference_Data!$H$5:$H$14,0)),""))</f>
        <v/>
      </c>
      <c r="Q267" s="37"/>
      <c r="R267" s="38"/>
      <c r="S267" s="12"/>
      <c r="T267" s="40" t="str">
        <f aca="false">IF(R267="","",R267+Reference_Data!$AL$6)</f>
        <v/>
      </c>
      <c r="U267" s="31" t="str">
        <f aca="true">IF(C267="","",IF(Q267="Yes","Decertification Record",IF(J267="","—",IF(COUNTIFS($C$5:$C$304,C267,$F$5:$F$304,F267,$J$5:$J$304,"&gt;"&amp;J267)&gt;0,"Superseded",IF(COUNTIFS($C$5:$C$304,C267,$F$5:$F$304,F267,$R$5:$R$304,"&gt;="&amp;J267)&gt;0,"Decertified",IF(K267&lt;TODAY(),"Expired","Active"))))))</f>
        <v/>
      </c>
      <c r="V267" s="37"/>
      <c r="W267" s="12"/>
    </row>
    <row r="268" customFormat="false" ht="15" hidden="false" customHeight="false" outlineLevel="0" collapsed="false">
      <c r="A268" s="37"/>
      <c r="B268" s="38"/>
      <c r="C268" s="37"/>
      <c r="D268" s="31" t="str">
        <f aca="false">IF($C268="","",IFERROR(INDEX(Employee_Master!$B$5:$B$104,MATCH($C268,Employee_Master!$A$5:$A$104,0)),"ID not found"))</f>
        <v/>
      </c>
      <c r="E268" s="31" t="str">
        <f aca="false">IF($C268="","",IFERROR(INDEX(Employee_Master!$C$5:$C$104,MATCH($C268,Employee_Master!$A$5:$A$104,0)),"ID not found"))</f>
        <v/>
      </c>
      <c r="F268" s="37"/>
      <c r="G268" s="37"/>
      <c r="H268" s="37"/>
      <c r="I268" s="39"/>
      <c r="J268" s="38"/>
      <c r="K268" s="40" t="str">
        <f aca="false">IF(J268="","",EDATE(J268,Reference_Data!$AL$5))</f>
        <v/>
      </c>
      <c r="L268" s="37"/>
      <c r="M268" s="12"/>
      <c r="N268" s="41"/>
      <c r="O268" s="37"/>
      <c r="P268" s="31" t="str">
        <f aca="false">IF(O268="","",IFERROR(INDEX(Reference_Data!$J$5:$J$14,MATCH(O268,Reference_Data!$H$5:$H$14,0)),""))</f>
        <v/>
      </c>
      <c r="Q268" s="37"/>
      <c r="R268" s="38"/>
      <c r="S268" s="12"/>
      <c r="T268" s="40" t="str">
        <f aca="false">IF(R268="","",R268+Reference_Data!$AL$6)</f>
        <v/>
      </c>
      <c r="U268" s="31" t="str">
        <f aca="true">IF(C268="","",IF(Q268="Yes","Decertification Record",IF(J268="","—",IF(COUNTIFS($C$5:$C$304,C268,$F$5:$F$304,F268,$J$5:$J$304,"&gt;"&amp;J268)&gt;0,"Superseded",IF(COUNTIFS($C$5:$C$304,C268,$F$5:$F$304,F268,$R$5:$R$304,"&gt;="&amp;J268)&gt;0,"Decertified",IF(K268&lt;TODAY(),"Expired","Active"))))))</f>
        <v/>
      </c>
      <c r="V268" s="37"/>
      <c r="W268" s="12"/>
    </row>
    <row r="269" customFormat="false" ht="15" hidden="false" customHeight="false" outlineLevel="0" collapsed="false">
      <c r="A269" s="37"/>
      <c r="B269" s="38"/>
      <c r="C269" s="37"/>
      <c r="D269" s="31" t="str">
        <f aca="false">IF($C269="","",IFERROR(INDEX(Employee_Master!$B$5:$B$104,MATCH($C269,Employee_Master!$A$5:$A$104,0)),"ID not found"))</f>
        <v/>
      </c>
      <c r="E269" s="31" t="str">
        <f aca="false">IF($C269="","",IFERROR(INDEX(Employee_Master!$C$5:$C$104,MATCH($C269,Employee_Master!$A$5:$A$104,0)),"ID not found"))</f>
        <v/>
      </c>
      <c r="F269" s="37"/>
      <c r="G269" s="37"/>
      <c r="H269" s="37"/>
      <c r="I269" s="39"/>
      <c r="J269" s="38"/>
      <c r="K269" s="40" t="str">
        <f aca="false">IF(J269="","",EDATE(J269,Reference_Data!$AL$5))</f>
        <v/>
      </c>
      <c r="L269" s="37"/>
      <c r="M269" s="12"/>
      <c r="N269" s="41"/>
      <c r="O269" s="37"/>
      <c r="P269" s="31" t="str">
        <f aca="false">IF(O269="","",IFERROR(INDEX(Reference_Data!$J$5:$J$14,MATCH(O269,Reference_Data!$H$5:$H$14,0)),""))</f>
        <v/>
      </c>
      <c r="Q269" s="37"/>
      <c r="R269" s="38"/>
      <c r="S269" s="12"/>
      <c r="T269" s="40" t="str">
        <f aca="false">IF(R269="","",R269+Reference_Data!$AL$6)</f>
        <v/>
      </c>
      <c r="U269" s="31" t="str">
        <f aca="true">IF(C269="","",IF(Q269="Yes","Decertification Record",IF(J269="","—",IF(COUNTIFS($C$5:$C$304,C269,$F$5:$F$304,F269,$J$5:$J$304,"&gt;"&amp;J269)&gt;0,"Superseded",IF(COUNTIFS($C$5:$C$304,C269,$F$5:$F$304,F269,$R$5:$R$304,"&gt;="&amp;J269)&gt;0,"Decertified",IF(K269&lt;TODAY(),"Expired","Active"))))))</f>
        <v/>
      </c>
      <c r="V269" s="37"/>
      <c r="W269" s="12"/>
    </row>
    <row r="270" customFormat="false" ht="15" hidden="false" customHeight="false" outlineLevel="0" collapsed="false">
      <c r="A270" s="37"/>
      <c r="B270" s="38"/>
      <c r="C270" s="37"/>
      <c r="D270" s="31" t="str">
        <f aca="false">IF($C270="","",IFERROR(INDEX(Employee_Master!$B$5:$B$104,MATCH($C270,Employee_Master!$A$5:$A$104,0)),"ID not found"))</f>
        <v/>
      </c>
      <c r="E270" s="31" t="str">
        <f aca="false">IF($C270="","",IFERROR(INDEX(Employee_Master!$C$5:$C$104,MATCH($C270,Employee_Master!$A$5:$A$104,0)),"ID not found"))</f>
        <v/>
      </c>
      <c r="F270" s="37"/>
      <c r="G270" s="37"/>
      <c r="H270" s="37"/>
      <c r="I270" s="39"/>
      <c r="J270" s="38"/>
      <c r="K270" s="40" t="str">
        <f aca="false">IF(J270="","",EDATE(J270,Reference_Data!$AL$5))</f>
        <v/>
      </c>
      <c r="L270" s="37"/>
      <c r="M270" s="12"/>
      <c r="N270" s="41"/>
      <c r="O270" s="37"/>
      <c r="P270" s="31" t="str">
        <f aca="false">IF(O270="","",IFERROR(INDEX(Reference_Data!$J$5:$J$14,MATCH(O270,Reference_Data!$H$5:$H$14,0)),""))</f>
        <v/>
      </c>
      <c r="Q270" s="37"/>
      <c r="R270" s="38"/>
      <c r="S270" s="12"/>
      <c r="T270" s="40" t="str">
        <f aca="false">IF(R270="","",R270+Reference_Data!$AL$6)</f>
        <v/>
      </c>
      <c r="U270" s="31" t="str">
        <f aca="true">IF(C270="","",IF(Q270="Yes","Decertification Record",IF(J270="","—",IF(COUNTIFS($C$5:$C$304,C270,$F$5:$F$304,F270,$J$5:$J$304,"&gt;"&amp;J270)&gt;0,"Superseded",IF(COUNTIFS($C$5:$C$304,C270,$F$5:$F$304,F270,$R$5:$R$304,"&gt;="&amp;J270)&gt;0,"Decertified",IF(K270&lt;TODAY(),"Expired","Active"))))))</f>
        <v/>
      </c>
      <c r="V270" s="37"/>
      <c r="W270" s="12"/>
    </row>
    <row r="271" customFormat="false" ht="15" hidden="false" customHeight="false" outlineLevel="0" collapsed="false">
      <c r="A271" s="37"/>
      <c r="B271" s="38"/>
      <c r="C271" s="37"/>
      <c r="D271" s="31" t="str">
        <f aca="false">IF($C271="","",IFERROR(INDEX(Employee_Master!$B$5:$B$104,MATCH($C271,Employee_Master!$A$5:$A$104,0)),"ID not found"))</f>
        <v/>
      </c>
      <c r="E271" s="31" t="str">
        <f aca="false">IF($C271="","",IFERROR(INDEX(Employee_Master!$C$5:$C$104,MATCH($C271,Employee_Master!$A$5:$A$104,0)),"ID not found"))</f>
        <v/>
      </c>
      <c r="F271" s="37"/>
      <c r="G271" s="37"/>
      <c r="H271" s="37"/>
      <c r="I271" s="39"/>
      <c r="J271" s="38"/>
      <c r="K271" s="40" t="str">
        <f aca="false">IF(J271="","",EDATE(J271,Reference_Data!$AL$5))</f>
        <v/>
      </c>
      <c r="L271" s="37"/>
      <c r="M271" s="12"/>
      <c r="N271" s="41"/>
      <c r="O271" s="37"/>
      <c r="P271" s="31" t="str">
        <f aca="false">IF(O271="","",IFERROR(INDEX(Reference_Data!$J$5:$J$14,MATCH(O271,Reference_Data!$H$5:$H$14,0)),""))</f>
        <v/>
      </c>
      <c r="Q271" s="37"/>
      <c r="R271" s="38"/>
      <c r="S271" s="12"/>
      <c r="T271" s="40" t="str">
        <f aca="false">IF(R271="","",R271+Reference_Data!$AL$6)</f>
        <v/>
      </c>
      <c r="U271" s="31" t="str">
        <f aca="true">IF(C271="","",IF(Q271="Yes","Decertification Record",IF(J271="","—",IF(COUNTIFS($C$5:$C$304,C271,$F$5:$F$304,F271,$J$5:$J$304,"&gt;"&amp;J271)&gt;0,"Superseded",IF(COUNTIFS($C$5:$C$304,C271,$F$5:$F$304,F271,$R$5:$R$304,"&gt;="&amp;J271)&gt;0,"Decertified",IF(K271&lt;TODAY(),"Expired","Active"))))))</f>
        <v/>
      </c>
      <c r="V271" s="37"/>
      <c r="W271" s="12"/>
    </row>
    <row r="272" customFormat="false" ht="15" hidden="false" customHeight="false" outlineLevel="0" collapsed="false">
      <c r="A272" s="37"/>
      <c r="B272" s="38"/>
      <c r="C272" s="37"/>
      <c r="D272" s="31" t="str">
        <f aca="false">IF($C272="","",IFERROR(INDEX(Employee_Master!$B$5:$B$104,MATCH($C272,Employee_Master!$A$5:$A$104,0)),"ID not found"))</f>
        <v/>
      </c>
      <c r="E272" s="31" t="str">
        <f aca="false">IF($C272="","",IFERROR(INDEX(Employee_Master!$C$5:$C$104,MATCH($C272,Employee_Master!$A$5:$A$104,0)),"ID not found"))</f>
        <v/>
      </c>
      <c r="F272" s="37"/>
      <c r="G272" s="37"/>
      <c r="H272" s="37"/>
      <c r="I272" s="39"/>
      <c r="J272" s="38"/>
      <c r="K272" s="40" t="str">
        <f aca="false">IF(J272="","",EDATE(J272,Reference_Data!$AL$5))</f>
        <v/>
      </c>
      <c r="L272" s="37"/>
      <c r="M272" s="12"/>
      <c r="N272" s="41"/>
      <c r="O272" s="37"/>
      <c r="P272" s="31" t="str">
        <f aca="false">IF(O272="","",IFERROR(INDEX(Reference_Data!$J$5:$J$14,MATCH(O272,Reference_Data!$H$5:$H$14,0)),""))</f>
        <v/>
      </c>
      <c r="Q272" s="37"/>
      <c r="R272" s="38"/>
      <c r="S272" s="12"/>
      <c r="T272" s="40" t="str">
        <f aca="false">IF(R272="","",R272+Reference_Data!$AL$6)</f>
        <v/>
      </c>
      <c r="U272" s="31" t="str">
        <f aca="true">IF(C272="","",IF(Q272="Yes","Decertification Record",IF(J272="","—",IF(COUNTIFS($C$5:$C$304,C272,$F$5:$F$304,F272,$J$5:$J$304,"&gt;"&amp;J272)&gt;0,"Superseded",IF(COUNTIFS($C$5:$C$304,C272,$F$5:$F$304,F272,$R$5:$R$304,"&gt;="&amp;J272)&gt;0,"Decertified",IF(K272&lt;TODAY(),"Expired","Active"))))))</f>
        <v/>
      </c>
      <c r="V272" s="37"/>
      <c r="W272" s="12"/>
    </row>
    <row r="273" customFormat="false" ht="15" hidden="false" customHeight="false" outlineLevel="0" collapsed="false">
      <c r="A273" s="37"/>
      <c r="B273" s="38"/>
      <c r="C273" s="37"/>
      <c r="D273" s="31" t="str">
        <f aca="false">IF($C273="","",IFERROR(INDEX(Employee_Master!$B$5:$B$104,MATCH($C273,Employee_Master!$A$5:$A$104,0)),"ID not found"))</f>
        <v/>
      </c>
      <c r="E273" s="31" t="str">
        <f aca="false">IF($C273="","",IFERROR(INDEX(Employee_Master!$C$5:$C$104,MATCH($C273,Employee_Master!$A$5:$A$104,0)),"ID not found"))</f>
        <v/>
      </c>
      <c r="F273" s="37"/>
      <c r="G273" s="37"/>
      <c r="H273" s="37"/>
      <c r="I273" s="39"/>
      <c r="J273" s="38"/>
      <c r="K273" s="40" t="str">
        <f aca="false">IF(J273="","",EDATE(J273,Reference_Data!$AL$5))</f>
        <v/>
      </c>
      <c r="L273" s="37"/>
      <c r="M273" s="12"/>
      <c r="N273" s="41"/>
      <c r="O273" s="37"/>
      <c r="P273" s="31" t="str">
        <f aca="false">IF(O273="","",IFERROR(INDEX(Reference_Data!$J$5:$J$14,MATCH(O273,Reference_Data!$H$5:$H$14,0)),""))</f>
        <v/>
      </c>
      <c r="Q273" s="37"/>
      <c r="R273" s="38"/>
      <c r="S273" s="12"/>
      <c r="T273" s="40" t="str">
        <f aca="false">IF(R273="","",R273+Reference_Data!$AL$6)</f>
        <v/>
      </c>
      <c r="U273" s="31" t="str">
        <f aca="true">IF(C273="","",IF(Q273="Yes","Decertification Record",IF(J273="","—",IF(COUNTIFS($C$5:$C$304,C273,$F$5:$F$304,F273,$J$5:$J$304,"&gt;"&amp;J273)&gt;0,"Superseded",IF(COUNTIFS($C$5:$C$304,C273,$F$5:$F$304,F273,$R$5:$R$304,"&gt;="&amp;J273)&gt;0,"Decertified",IF(K273&lt;TODAY(),"Expired","Active"))))))</f>
        <v/>
      </c>
      <c r="V273" s="37"/>
      <c r="W273" s="12"/>
    </row>
    <row r="274" customFormat="false" ht="15" hidden="false" customHeight="false" outlineLevel="0" collapsed="false">
      <c r="A274" s="37"/>
      <c r="B274" s="38"/>
      <c r="C274" s="37"/>
      <c r="D274" s="31" t="str">
        <f aca="false">IF($C274="","",IFERROR(INDEX(Employee_Master!$B$5:$B$104,MATCH($C274,Employee_Master!$A$5:$A$104,0)),"ID not found"))</f>
        <v/>
      </c>
      <c r="E274" s="31" t="str">
        <f aca="false">IF($C274="","",IFERROR(INDEX(Employee_Master!$C$5:$C$104,MATCH($C274,Employee_Master!$A$5:$A$104,0)),"ID not found"))</f>
        <v/>
      </c>
      <c r="F274" s="37"/>
      <c r="G274" s="37"/>
      <c r="H274" s="37"/>
      <c r="I274" s="39"/>
      <c r="J274" s="38"/>
      <c r="K274" s="40" t="str">
        <f aca="false">IF(J274="","",EDATE(J274,Reference_Data!$AL$5))</f>
        <v/>
      </c>
      <c r="L274" s="37"/>
      <c r="M274" s="12"/>
      <c r="N274" s="41"/>
      <c r="O274" s="37"/>
      <c r="P274" s="31" t="str">
        <f aca="false">IF(O274="","",IFERROR(INDEX(Reference_Data!$J$5:$J$14,MATCH(O274,Reference_Data!$H$5:$H$14,0)),""))</f>
        <v/>
      </c>
      <c r="Q274" s="37"/>
      <c r="R274" s="38"/>
      <c r="S274" s="12"/>
      <c r="T274" s="40" t="str">
        <f aca="false">IF(R274="","",R274+Reference_Data!$AL$6)</f>
        <v/>
      </c>
      <c r="U274" s="31" t="str">
        <f aca="true">IF(C274="","",IF(Q274="Yes","Decertification Record",IF(J274="","—",IF(COUNTIFS($C$5:$C$304,C274,$F$5:$F$304,F274,$J$5:$J$304,"&gt;"&amp;J274)&gt;0,"Superseded",IF(COUNTIFS($C$5:$C$304,C274,$F$5:$F$304,F274,$R$5:$R$304,"&gt;="&amp;J274)&gt;0,"Decertified",IF(K274&lt;TODAY(),"Expired","Active"))))))</f>
        <v/>
      </c>
      <c r="V274" s="37"/>
      <c r="W274" s="12"/>
    </row>
    <row r="275" customFormat="false" ht="15" hidden="false" customHeight="false" outlineLevel="0" collapsed="false">
      <c r="A275" s="37"/>
      <c r="B275" s="38"/>
      <c r="C275" s="37"/>
      <c r="D275" s="31" t="str">
        <f aca="false">IF($C275="","",IFERROR(INDEX(Employee_Master!$B$5:$B$104,MATCH($C275,Employee_Master!$A$5:$A$104,0)),"ID not found"))</f>
        <v/>
      </c>
      <c r="E275" s="31" t="str">
        <f aca="false">IF($C275="","",IFERROR(INDEX(Employee_Master!$C$5:$C$104,MATCH($C275,Employee_Master!$A$5:$A$104,0)),"ID not found"))</f>
        <v/>
      </c>
      <c r="F275" s="37"/>
      <c r="G275" s="37"/>
      <c r="H275" s="37"/>
      <c r="I275" s="39"/>
      <c r="J275" s="38"/>
      <c r="K275" s="40" t="str">
        <f aca="false">IF(J275="","",EDATE(J275,Reference_Data!$AL$5))</f>
        <v/>
      </c>
      <c r="L275" s="37"/>
      <c r="M275" s="12"/>
      <c r="N275" s="41"/>
      <c r="O275" s="37"/>
      <c r="P275" s="31" t="str">
        <f aca="false">IF(O275="","",IFERROR(INDEX(Reference_Data!$J$5:$J$14,MATCH(O275,Reference_Data!$H$5:$H$14,0)),""))</f>
        <v/>
      </c>
      <c r="Q275" s="37"/>
      <c r="R275" s="38"/>
      <c r="S275" s="12"/>
      <c r="T275" s="40" t="str">
        <f aca="false">IF(R275="","",R275+Reference_Data!$AL$6)</f>
        <v/>
      </c>
      <c r="U275" s="31" t="str">
        <f aca="true">IF(C275="","",IF(Q275="Yes","Decertification Record",IF(J275="","—",IF(COUNTIFS($C$5:$C$304,C275,$F$5:$F$304,F275,$J$5:$J$304,"&gt;"&amp;J275)&gt;0,"Superseded",IF(COUNTIFS($C$5:$C$304,C275,$F$5:$F$304,F275,$R$5:$R$304,"&gt;="&amp;J275)&gt;0,"Decertified",IF(K275&lt;TODAY(),"Expired","Active"))))))</f>
        <v/>
      </c>
      <c r="V275" s="37"/>
      <c r="W275" s="12"/>
    </row>
    <row r="276" customFormat="false" ht="15" hidden="false" customHeight="false" outlineLevel="0" collapsed="false">
      <c r="A276" s="37"/>
      <c r="B276" s="38"/>
      <c r="C276" s="37"/>
      <c r="D276" s="31" t="str">
        <f aca="false">IF($C276="","",IFERROR(INDEX(Employee_Master!$B$5:$B$104,MATCH($C276,Employee_Master!$A$5:$A$104,0)),"ID not found"))</f>
        <v/>
      </c>
      <c r="E276" s="31" t="str">
        <f aca="false">IF($C276="","",IFERROR(INDEX(Employee_Master!$C$5:$C$104,MATCH($C276,Employee_Master!$A$5:$A$104,0)),"ID not found"))</f>
        <v/>
      </c>
      <c r="F276" s="37"/>
      <c r="G276" s="37"/>
      <c r="H276" s="37"/>
      <c r="I276" s="39"/>
      <c r="J276" s="38"/>
      <c r="K276" s="40" t="str">
        <f aca="false">IF(J276="","",EDATE(J276,Reference_Data!$AL$5))</f>
        <v/>
      </c>
      <c r="L276" s="37"/>
      <c r="M276" s="12"/>
      <c r="N276" s="41"/>
      <c r="O276" s="37"/>
      <c r="P276" s="31" t="str">
        <f aca="false">IF(O276="","",IFERROR(INDEX(Reference_Data!$J$5:$J$14,MATCH(O276,Reference_Data!$H$5:$H$14,0)),""))</f>
        <v/>
      </c>
      <c r="Q276" s="37"/>
      <c r="R276" s="38"/>
      <c r="S276" s="12"/>
      <c r="T276" s="40" t="str">
        <f aca="false">IF(R276="","",R276+Reference_Data!$AL$6)</f>
        <v/>
      </c>
      <c r="U276" s="31" t="str">
        <f aca="true">IF(C276="","",IF(Q276="Yes","Decertification Record",IF(J276="","—",IF(COUNTIFS($C$5:$C$304,C276,$F$5:$F$304,F276,$J$5:$J$304,"&gt;"&amp;J276)&gt;0,"Superseded",IF(COUNTIFS($C$5:$C$304,C276,$F$5:$F$304,F276,$R$5:$R$304,"&gt;="&amp;J276)&gt;0,"Decertified",IF(K276&lt;TODAY(),"Expired","Active"))))))</f>
        <v/>
      </c>
      <c r="V276" s="37"/>
      <c r="W276" s="12"/>
    </row>
    <row r="277" customFormat="false" ht="15" hidden="false" customHeight="false" outlineLevel="0" collapsed="false">
      <c r="A277" s="37"/>
      <c r="B277" s="38"/>
      <c r="C277" s="37"/>
      <c r="D277" s="31" t="str">
        <f aca="false">IF($C277="","",IFERROR(INDEX(Employee_Master!$B$5:$B$104,MATCH($C277,Employee_Master!$A$5:$A$104,0)),"ID not found"))</f>
        <v/>
      </c>
      <c r="E277" s="31" t="str">
        <f aca="false">IF($C277="","",IFERROR(INDEX(Employee_Master!$C$5:$C$104,MATCH($C277,Employee_Master!$A$5:$A$104,0)),"ID not found"))</f>
        <v/>
      </c>
      <c r="F277" s="37"/>
      <c r="G277" s="37"/>
      <c r="H277" s="37"/>
      <c r="I277" s="39"/>
      <c r="J277" s="38"/>
      <c r="K277" s="40" t="str">
        <f aca="false">IF(J277="","",EDATE(J277,Reference_Data!$AL$5))</f>
        <v/>
      </c>
      <c r="L277" s="37"/>
      <c r="M277" s="12"/>
      <c r="N277" s="41"/>
      <c r="O277" s="37"/>
      <c r="P277" s="31" t="str">
        <f aca="false">IF(O277="","",IFERROR(INDEX(Reference_Data!$J$5:$J$14,MATCH(O277,Reference_Data!$H$5:$H$14,0)),""))</f>
        <v/>
      </c>
      <c r="Q277" s="37"/>
      <c r="R277" s="38"/>
      <c r="S277" s="12"/>
      <c r="T277" s="40" t="str">
        <f aca="false">IF(R277="","",R277+Reference_Data!$AL$6)</f>
        <v/>
      </c>
      <c r="U277" s="31" t="str">
        <f aca="true">IF(C277="","",IF(Q277="Yes","Decertification Record",IF(J277="","—",IF(COUNTIFS($C$5:$C$304,C277,$F$5:$F$304,F277,$J$5:$J$304,"&gt;"&amp;J277)&gt;0,"Superseded",IF(COUNTIFS($C$5:$C$304,C277,$F$5:$F$304,F277,$R$5:$R$304,"&gt;="&amp;J277)&gt;0,"Decertified",IF(K277&lt;TODAY(),"Expired","Active"))))))</f>
        <v/>
      </c>
      <c r="V277" s="37"/>
      <c r="W277" s="12"/>
    </row>
    <row r="278" customFormat="false" ht="15" hidden="false" customHeight="false" outlineLevel="0" collapsed="false">
      <c r="A278" s="37"/>
      <c r="B278" s="38"/>
      <c r="C278" s="37"/>
      <c r="D278" s="31" t="str">
        <f aca="false">IF($C278="","",IFERROR(INDEX(Employee_Master!$B$5:$B$104,MATCH($C278,Employee_Master!$A$5:$A$104,0)),"ID not found"))</f>
        <v/>
      </c>
      <c r="E278" s="31" t="str">
        <f aca="false">IF($C278="","",IFERROR(INDEX(Employee_Master!$C$5:$C$104,MATCH($C278,Employee_Master!$A$5:$A$104,0)),"ID not found"))</f>
        <v/>
      </c>
      <c r="F278" s="37"/>
      <c r="G278" s="37"/>
      <c r="H278" s="37"/>
      <c r="I278" s="39"/>
      <c r="J278" s="38"/>
      <c r="K278" s="40" t="str">
        <f aca="false">IF(J278="","",EDATE(J278,Reference_Data!$AL$5))</f>
        <v/>
      </c>
      <c r="L278" s="37"/>
      <c r="M278" s="12"/>
      <c r="N278" s="41"/>
      <c r="O278" s="37"/>
      <c r="P278" s="31" t="str">
        <f aca="false">IF(O278="","",IFERROR(INDEX(Reference_Data!$J$5:$J$14,MATCH(O278,Reference_Data!$H$5:$H$14,0)),""))</f>
        <v/>
      </c>
      <c r="Q278" s="37"/>
      <c r="R278" s="38"/>
      <c r="S278" s="12"/>
      <c r="T278" s="40" t="str">
        <f aca="false">IF(R278="","",R278+Reference_Data!$AL$6)</f>
        <v/>
      </c>
      <c r="U278" s="31" t="str">
        <f aca="true">IF(C278="","",IF(Q278="Yes","Decertification Record",IF(J278="","—",IF(COUNTIFS($C$5:$C$304,C278,$F$5:$F$304,F278,$J$5:$J$304,"&gt;"&amp;J278)&gt;0,"Superseded",IF(COUNTIFS($C$5:$C$304,C278,$F$5:$F$304,F278,$R$5:$R$304,"&gt;="&amp;J278)&gt;0,"Decertified",IF(K278&lt;TODAY(),"Expired","Active"))))))</f>
        <v/>
      </c>
      <c r="V278" s="37"/>
      <c r="W278" s="12"/>
    </row>
    <row r="279" customFormat="false" ht="15" hidden="false" customHeight="false" outlineLevel="0" collapsed="false">
      <c r="A279" s="37"/>
      <c r="B279" s="38"/>
      <c r="C279" s="37"/>
      <c r="D279" s="31" t="str">
        <f aca="false">IF($C279="","",IFERROR(INDEX(Employee_Master!$B$5:$B$104,MATCH($C279,Employee_Master!$A$5:$A$104,0)),"ID not found"))</f>
        <v/>
      </c>
      <c r="E279" s="31" t="str">
        <f aca="false">IF($C279="","",IFERROR(INDEX(Employee_Master!$C$5:$C$104,MATCH($C279,Employee_Master!$A$5:$A$104,0)),"ID not found"))</f>
        <v/>
      </c>
      <c r="F279" s="37"/>
      <c r="G279" s="37"/>
      <c r="H279" s="37"/>
      <c r="I279" s="39"/>
      <c r="J279" s="38"/>
      <c r="K279" s="40" t="str">
        <f aca="false">IF(J279="","",EDATE(J279,Reference_Data!$AL$5))</f>
        <v/>
      </c>
      <c r="L279" s="37"/>
      <c r="M279" s="12"/>
      <c r="N279" s="41"/>
      <c r="O279" s="37"/>
      <c r="P279" s="31" t="str">
        <f aca="false">IF(O279="","",IFERROR(INDEX(Reference_Data!$J$5:$J$14,MATCH(O279,Reference_Data!$H$5:$H$14,0)),""))</f>
        <v/>
      </c>
      <c r="Q279" s="37"/>
      <c r="R279" s="38"/>
      <c r="S279" s="12"/>
      <c r="T279" s="40" t="str">
        <f aca="false">IF(R279="","",R279+Reference_Data!$AL$6)</f>
        <v/>
      </c>
      <c r="U279" s="31" t="str">
        <f aca="true">IF(C279="","",IF(Q279="Yes","Decertification Record",IF(J279="","—",IF(COUNTIFS($C$5:$C$304,C279,$F$5:$F$304,F279,$J$5:$J$304,"&gt;"&amp;J279)&gt;0,"Superseded",IF(COUNTIFS($C$5:$C$304,C279,$F$5:$F$304,F279,$R$5:$R$304,"&gt;="&amp;J279)&gt;0,"Decertified",IF(K279&lt;TODAY(),"Expired","Active"))))))</f>
        <v/>
      </c>
      <c r="V279" s="37"/>
      <c r="W279" s="12"/>
    </row>
    <row r="280" customFormat="false" ht="15" hidden="false" customHeight="false" outlineLevel="0" collapsed="false">
      <c r="A280" s="37"/>
      <c r="B280" s="38"/>
      <c r="C280" s="37"/>
      <c r="D280" s="31" t="str">
        <f aca="false">IF($C280="","",IFERROR(INDEX(Employee_Master!$B$5:$B$104,MATCH($C280,Employee_Master!$A$5:$A$104,0)),"ID not found"))</f>
        <v/>
      </c>
      <c r="E280" s="31" t="str">
        <f aca="false">IF($C280="","",IFERROR(INDEX(Employee_Master!$C$5:$C$104,MATCH($C280,Employee_Master!$A$5:$A$104,0)),"ID not found"))</f>
        <v/>
      </c>
      <c r="F280" s="37"/>
      <c r="G280" s="37"/>
      <c r="H280" s="37"/>
      <c r="I280" s="39"/>
      <c r="J280" s="38"/>
      <c r="K280" s="40" t="str">
        <f aca="false">IF(J280="","",EDATE(J280,Reference_Data!$AL$5))</f>
        <v/>
      </c>
      <c r="L280" s="37"/>
      <c r="M280" s="12"/>
      <c r="N280" s="41"/>
      <c r="O280" s="37"/>
      <c r="P280" s="31" t="str">
        <f aca="false">IF(O280="","",IFERROR(INDEX(Reference_Data!$J$5:$J$14,MATCH(O280,Reference_Data!$H$5:$H$14,0)),""))</f>
        <v/>
      </c>
      <c r="Q280" s="37"/>
      <c r="R280" s="38"/>
      <c r="S280" s="12"/>
      <c r="T280" s="40" t="str">
        <f aca="false">IF(R280="","",R280+Reference_Data!$AL$6)</f>
        <v/>
      </c>
      <c r="U280" s="31" t="str">
        <f aca="true">IF(C280="","",IF(Q280="Yes","Decertification Record",IF(J280="","—",IF(COUNTIFS($C$5:$C$304,C280,$F$5:$F$304,F280,$J$5:$J$304,"&gt;"&amp;J280)&gt;0,"Superseded",IF(COUNTIFS($C$5:$C$304,C280,$F$5:$F$304,F280,$R$5:$R$304,"&gt;="&amp;J280)&gt;0,"Decertified",IF(K280&lt;TODAY(),"Expired","Active"))))))</f>
        <v/>
      </c>
      <c r="V280" s="37"/>
      <c r="W280" s="12"/>
    </row>
    <row r="281" customFormat="false" ht="15" hidden="false" customHeight="false" outlineLevel="0" collapsed="false">
      <c r="A281" s="37"/>
      <c r="B281" s="38"/>
      <c r="C281" s="37"/>
      <c r="D281" s="31" t="str">
        <f aca="false">IF($C281="","",IFERROR(INDEX(Employee_Master!$B$5:$B$104,MATCH($C281,Employee_Master!$A$5:$A$104,0)),"ID not found"))</f>
        <v/>
      </c>
      <c r="E281" s="31" t="str">
        <f aca="false">IF($C281="","",IFERROR(INDEX(Employee_Master!$C$5:$C$104,MATCH($C281,Employee_Master!$A$5:$A$104,0)),"ID not found"))</f>
        <v/>
      </c>
      <c r="F281" s="37"/>
      <c r="G281" s="37"/>
      <c r="H281" s="37"/>
      <c r="I281" s="39"/>
      <c r="J281" s="38"/>
      <c r="K281" s="40" t="str">
        <f aca="false">IF(J281="","",EDATE(J281,Reference_Data!$AL$5))</f>
        <v/>
      </c>
      <c r="L281" s="37"/>
      <c r="M281" s="12"/>
      <c r="N281" s="41"/>
      <c r="O281" s="37"/>
      <c r="P281" s="31" t="str">
        <f aca="false">IF(O281="","",IFERROR(INDEX(Reference_Data!$J$5:$J$14,MATCH(O281,Reference_Data!$H$5:$H$14,0)),""))</f>
        <v/>
      </c>
      <c r="Q281" s="37"/>
      <c r="R281" s="38"/>
      <c r="S281" s="12"/>
      <c r="T281" s="40" t="str">
        <f aca="false">IF(R281="","",R281+Reference_Data!$AL$6)</f>
        <v/>
      </c>
      <c r="U281" s="31" t="str">
        <f aca="true">IF(C281="","",IF(Q281="Yes","Decertification Record",IF(J281="","—",IF(COUNTIFS($C$5:$C$304,C281,$F$5:$F$304,F281,$J$5:$J$304,"&gt;"&amp;J281)&gt;0,"Superseded",IF(COUNTIFS($C$5:$C$304,C281,$F$5:$F$304,F281,$R$5:$R$304,"&gt;="&amp;J281)&gt;0,"Decertified",IF(K281&lt;TODAY(),"Expired","Active"))))))</f>
        <v/>
      </c>
      <c r="V281" s="37"/>
      <c r="W281" s="12"/>
    </row>
    <row r="282" customFormat="false" ht="15" hidden="false" customHeight="false" outlineLevel="0" collapsed="false">
      <c r="A282" s="37"/>
      <c r="B282" s="38"/>
      <c r="C282" s="37"/>
      <c r="D282" s="31" t="str">
        <f aca="false">IF($C282="","",IFERROR(INDEX(Employee_Master!$B$5:$B$104,MATCH($C282,Employee_Master!$A$5:$A$104,0)),"ID not found"))</f>
        <v/>
      </c>
      <c r="E282" s="31" t="str">
        <f aca="false">IF($C282="","",IFERROR(INDEX(Employee_Master!$C$5:$C$104,MATCH($C282,Employee_Master!$A$5:$A$104,0)),"ID not found"))</f>
        <v/>
      </c>
      <c r="F282" s="37"/>
      <c r="G282" s="37"/>
      <c r="H282" s="37"/>
      <c r="I282" s="39"/>
      <c r="J282" s="38"/>
      <c r="K282" s="40" t="str">
        <f aca="false">IF(J282="","",EDATE(J282,Reference_Data!$AL$5))</f>
        <v/>
      </c>
      <c r="L282" s="37"/>
      <c r="M282" s="12"/>
      <c r="N282" s="41"/>
      <c r="O282" s="37"/>
      <c r="P282" s="31" t="str">
        <f aca="false">IF(O282="","",IFERROR(INDEX(Reference_Data!$J$5:$J$14,MATCH(O282,Reference_Data!$H$5:$H$14,0)),""))</f>
        <v/>
      </c>
      <c r="Q282" s="37"/>
      <c r="R282" s="38"/>
      <c r="S282" s="12"/>
      <c r="T282" s="40" t="str">
        <f aca="false">IF(R282="","",R282+Reference_Data!$AL$6)</f>
        <v/>
      </c>
      <c r="U282" s="31" t="str">
        <f aca="true">IF(C282="","",IF(Q282="Yes","Decertification Record",IF(J282="","—",IF(COUNTIFS($C$5:$C$304,C282,$F$5:$F$304,F282,$J$5:$J$304,"&gt;"&amp;J282)&gt;0,"Superseded",IF(COUNTIFS($C$5:$C$304,C282,$F$5:$F$304,F282,$R$5:$R$304,"&gt;="&amp;J282)&gt;0,"Decertified",IF(K282&lt;TODAY(),"Expired","Active"))))))</f>
        <v/>
      </c>
      <c r="V282" s="37"/>
      <c r="W282" s="12"/>
    </row>
    <row r="283" customFormat="false" ht="15" hidden="false" customHeight="false" outlineLevel="0" collapsed="false">
      <c r="A283" s="37"/>
      <c r="B283" s="38"/>
      <c r="C283" s="37"/>
      <c r="D283" s="31" t="str">
        <f aca="false">IF($C283="","",IFERROR(INDEX(Employee_Master!$B$5:$B$104,MATCH($C283,Employee_Master!$A$5:$A$104,0)),"ID not found"))</f>
        <v/>
      </c>
      <c r="E283" s="31" t="str">
        <f aca="false">IF($C283="","",IFERROR(INDEX(Employee_Master!$C$5:$C$104,MATCH($C283,Employee_Master!$A$5:$A$104,0)),"ID not found"))</f>
        <v/>
      </c>
      <c r="F283" s="37"/>
      <c r="G283" s="37"/>
      <c r="H283" s="37"/>
      <c r="I283" s="39"/>
      <c r="J283" s="38"/>
      <c r="K283" s="40" t="str">
        <f aca="false">IF(J283="","",EDATE(J283,Reference_Data!$AL$5))</f>
        <v/>
      </c>
      <c r="L283" s="37"/>
      <c r="M283" s="12"/>
      <c r="N283" s="41"/>
      <c r="O283" s="37"/>
      <c r="P283" s="31" t="str">
        <f aca="false">IF(O283="","",IFERROR(INDEX(Reference_Data!$J$5:$J$14,MATCH(O283,Reference_Data!$H$5:$H$14,0)),""))</f>
        <v/>
      </c>
      <c r="Q283" s="37"/>
      <c r="R283" s="38"/>
      <c r="S283" s="12"/>
      <c r="T283" s="40" t="str">
        <f aca="false">IF(R283="","",R283+Reference_Data!$AL$6)</f>
        <v/>
      </c>
      <c r="U283" s="31" t="str">
        <f aca="true">IF(C283="","",IF(Q283="Yes","Decertification Record",IF(J283="","—",IF(COUNTIFS($C$5:$C$304,C283,$F$5:$F$304,F283,$J$5:$J$304,"&gt;"&amp;J283)&gt;0,"Superseded",IF(COUNTIFS($C$5:$C$304,C283,$F$5:$F$304,F283,$R$5:$R$304,"&gt;="&amp;J283)&gt;0,"Decertified",IF(K283&lt;TODAY(),"Expired","Active"))))))</f>
        <v/>
      </c>
      <c r="V283" s="37"/>
      <c r="W283" s="12"/>
    </row>
    <row r="284" customFormat="false" ht="15" hidden="false" customHeight="false" outlineLevel="0" collapsed="false">
      <c r="A284" s="37"/>
      <c r="B284" s="38"/>
      <c r="C284" s="37"/>
      <c r="D284" s="31" t="str">
        <f aca="false">IF($C284="","",IFERROR(INDEX(Employee_Master!$B$5:$B$104,MATCH($C284,Employee_Master!$A$5:$A$104,0)),"ID not found"))</f>
        <v/>
      </c>
      <c r="E284" s="31" t="str">
        <f aca="false">IF($C284="","",IFERROR(INDEX(Employee_Master!$C$5:$C$104,MATCH($C284,Employee_Master!$A$5:$A$104,0)),"ID not found"))</f>
        <v/>
      </c>
      <c r="F284" s="37"/>
      <c r="G284" s="37"/>
      <c r="H284" s="37"/>
      <c r="I284" s="39"/>
      <c r="J284" s="38"/>
      <c r="K284" s="40" t="str">
        <f aca="false">IF(J284="","",EDATE(J284,Reference_Data!$AL$5))</f>
        <v/>
      </c>
      <c r="L284" s="37"/>
      <c r="M284" s="12"/>
      <c r="N284" s="41"/>
      <c r="O284" s="37"/>
      <c r="P284" s="31" t="str">
        <f aca="false">IF(O284="","",IFERROR(INDEX(Reference_Data!$J$5:$J$14,MATCH(O284,Reference_Data!$H$5:$H$14,0)),""))</f>
        <v/>
      </c>
      <c r="Q284" s="37"/>
      <c r="R284" s="38"/>
      <c r="S284" s="12"/>
      <c r="T284" s="40" t="str">
        <f aca="false">IF(R284="","",R284+Reference_Data!$AL$6)</f>
        <v/>
      </c>
      <c r="U284" s="31" t="str">
        <f aca="true">IF(C284="","",IF(Q284="Yes","Decertification Record",IF(J284="","—",IF(COUNTIFS($C$5:$C$304,C284,$F$5:$F$304,F284,$J$5:$J$304,"&gt;"&amp;J284)&gt;0,"Superseded",IF(COUNTIFS($C$5:$C$304,C284,$F$5:$F$304,F284,$R$5:$R$304,"&gt;="&amp;J284)&gt;0,"Decertified",IF(K284&lt;TODAY(),"Expired","Active"))))))</f>
        <v/>
      </c>
      <c r="V284" s="37"/>
      <c r="W284" s="12"/>
    </row>
    <row r="285" customFormat="false" ht="15" hidden="false" customHeight="false" outlineLevel="0" collapsed="false">
      <c r="A285" s="37"/>
      <c r="B285" s="38"/>
      <c r="C285" s="37"/>
      <c r="D285" s="31" t="str">
        <f aca="false">IF($C285="","",IFERROR(INDEX(Employee_Master!$B$5:$B$104,MATCH($C285,Employee_Master!$A$5:$A$104,0)),"ID not found"))</f>
        <v/>
      </c>
      <c r="E285" s="31" t="str">
        <f aca="false">IF($C285="","",IFERROR(INDEX(Employee_Master!$C$5:$C$104,MATCH($C285,Employee_Master!$A$5:$A$104,0)),"ID not found"))</f>
        <v/>
      </c>
      <c r="F285" s="37"/>
      <c r="G285" s="37"/>
      <c r="H285" s="37"/>
      <c r="I285" s="39"/>
      <c r="J285" s="38"/>
      <c r="K285" s="40" t="str">
        <f aca="false">IF(J285="","",EDATE(J285,Reference_Data!$AL$5))</f>
        <v/>
      </c>
      <c r="L285" s="37"/>
      <c r="M285" s="12"/>
      <c r="N285" s="41"/>
      <c r="O285" s="37"/>
      <c r="P285" s="31" t="str">
        <f aca="false">IF(O285="","",IFERROR(INDEX(Reference_Data!$J$5:$J$14,MATCH(O285,Reference_Data!$H$5:$H$14,0)),""))</f>
        <v/>
      </c>
      <c r="Q285" s="37"/>
      <c r="R285" s="38"/>
      <c r="S285" s="12"/>
      <c r="T285" s="40" t="str">
        <f aca="false">IF(R285="","",R285+Reference_Data!$AL$6)</f>
        <v/>
      </c>
      <c r="U285" s="31" t="str">
        <f aca="true">IF(C285="","",IF(Q285="Yes","Decertification Record",IF(J285="","—",IF(COUNTIFS($C$5:$C$304,C285,$F$5:$F$304,F285,$J$5:$J$304,"&gt;"&amp;J285)&gt;0,"Superseded",IF(COUNTIFS($C$5:$C$304,C285,$F$5:$F$304,F285,$R$5:$R$304,"&gt;="&amp;J285)&gt;0,"Decertified",IF(K285&lt;TODAY(),"Expired","Active"))))))</f>
        <v/>
      </c>
      <c r="V285" s="37"/>
      <c r="W285" s="12"/>
    </row>
    <row r="286" customFormat="false" ht="15" hidden="false" customHeight="false" outlineLevel="0" collapsed="false">
      <c r="A286" s="37"/>
      <c r="B286" s="38"/>
      <c r="C286" s="37"/>
      <c r="D286" s="31" t="str">
        <f aca="false">IF($C286="","",IFERROR(INDEX(Employee_Master!$B$5:$B$104,MATCH($C286,Employee_Master!$A$5:$A$104,0)),"ID not found"))</f>
        <v/>
      </c>
      <c r="E286" s="31" t="str">
        <f aca="false">IF($C286="","",IFERROR(INDEX(Employee_Master!$C$5:$C$104,MATCH($C286,Employee_Master!$A$5:$A$104,0)),"ID not found"))</f>
        <v/>
      </c>
      <c r="F286" s="37"/>
      <c r="G286" s="37"/>
      <c r="H286" s="37"/>
      <c r="I286" s="39"/>
      <c r="J286" s="38"/>
      <c r="K286" s="40" t="str">
        <f aca="false">IF(J286="","",EDATE(J286,Reference_Data!$AL$5))</f>
        <v/>
      </c>
      <c r="L286" s="37"/>
      <c r="M286" s="12"/>
      <c r="N286" s="41"/>
      <c r="O286" s="37"/>
      <c r="P286" s="31" t="str">
        <f aca="false">IF(O286="","",IFERROR(INDEX(Reference_Data!$J$5:$J$14,MATCH(O286,Reference_Data!$H$5:$H$14,0)),""))</f>
        <v/>
      </c>
      <c r="Q286" s="37"/>
      <c r="R286" s="38"/>
      <c r="S286" s="12"/>
      <c r="T286" s="40" t="str">
        <f aca="false">IF(R286="","",R286+Reference_Data!$AL$6)</f>
        <v/>
      </c>
      <c r="U286" s="31" t="str">
        <f aca="true">IF(C286="","",IF(Q286="Yes","Decertification Record",IF(J286="","—",IF(COUNTIFS($C$5:$C$304,C286,$F$5:$F$304,F286,$J$5:$J$304,"&gt;"&amp;J286)&gt;0,"Superseded",IF(COUNTIFS($C$5:$C$304,C286,$F$5:$F$304,F286,$R$5:$R$304,"&gt;="&amp;J286)&gt;0,"Decertified",IF(K286&lt;TODAY(),"Expired","Active"))))))</f>
        <v/>
      </c>
      <c r="V286" s="37"/>
      <c r="W286" s="12"/>
    </row>
    <row r="287" customFormat="false" ht="15" hidden="false" customHeight="false" outlineLevel="0" collapsed="false">
      <c r="A287" s="37"/>
      <c r="B287" s="38"/>
      <c r="C287" s="37"/>
      <c r="D287" s="31" t="str">
        <f aca="false">IF($C287="","",IFERROR(INDEX(Employee_Master!$B$5:$B$104,MATCH($C287,Employee_Master!$A$5:$A$104,0)),"ID not found"))</f>
        <v/>
      </c>
      <c r="E287" s="31" t="str">
        <f aca="false">IF($C287="","",IFERROR(INDEX(Employee_Master!$C$5:$C$104,MATCH($C287,Employee_Master!$A$5:$A$104,0)),"ID not found"))</f>
        <v/>
      </c>
      <c r="F287" s="37"/>
      <c r="G287" s="37"/>
      <c r="H287" s="37"/>
      <c r="I287" s="39"/>
      <c r="J287" s="38"/>
      <c r="K287" s="40" t="str">
        <f aca="false">IF(J287="","",EDATE(J287,Reference_Data!$AL$5))</f>
        <v/>
      </c>
      <c r="L287" s="37"/>
      <c r="M287" s="12"/>
      <c r="N287" s="41"/>
      <c r="O287" s="37"/>
      <c r="P287" s="31" t="str">
        <f aca="false">IF(O287="","",IFERROR(INDEX(Reference_Data!$J$5:$J$14,MATCH(O287,Reference_Data!$H$5:$H$14,0)),""))</f>
        <v/>
      </c>
      <c r="Q287" s="37"/>
      <c r="R287" s="38"/>
      <c r="S287" s="12"/>
      <c r="T287" s="40" t="str">
        <f aca="false">IF(R287="","",R287+Reference_Data!$AL$6)</f>
        <v/>
      </c>
      <c r="U287" s="31" t="str">
        <f aca="true">IF(C287="","",IF(Q287="Yes","Decertification Record",IF(J287="","—",IF(COUNTIFS($C$5:$C$304,C287,$F$5:$F$304,F287,$J$5:$J$304,"&gt;"&amp;J287)&gt;0,"Superseded",IF(COUNTIFS($C$5:$C$304,C287,$F$5:$F$304,F287,$R$5:$R$304,"&gt;="&amp;J287)&gt;0,"Decertified",IF(K287&lt;TODAY(),"Expired","Active"))))))</f>
        <v/>
      </c>
      <c r="V287" s="37"/>
      <c r="W287" s="12"/>
    </row>
    <row r="288" customFormat="false" ht="15" hidden="false" customHeight="false" outlineLevel="0" collapsed="false">
      <c r="A288" s="37"/>
      <c r="B288" s="38"/>
      <c r="C288" s="37"/>
      <c r="D288" s="31" t="str">
        <f aca="false">IF($C288="","",IFERROR(INDEX(Employee_Master!$B$5:$B$104,MATCH($C288,Employee_Master!$A$5:$A$104,0)),"ID not found"))</f>
        <v/>
      </c>
      <c r="E288" s="31" t="str">
        <f aca="false">IF($C288="","",IFERROR(INDEX(Employee_Master!$C$5:$C$104,MATCH($C288,Employee_Master!$A$5:$A$104,0)),"ID not found"))</f>
        <v/>
      </c>
      <c r="F288" s="37"/>
      <c r="G288" s="37"/>
      <c r="H288" s="37"/>
      <c r="I288" s="39"/>
      <c r="J288" s="38"/>
      <c r="K288" s="40" t="str">
        <f aca="false">IF(J288="","",EDATE(J288,Reference_Data!$AL$5))</f>
        <v/>
      </c>
      <c r="L288" s="37"/>
      <c r="M288" s="12"/>
      <c r="N288" s="41"/>
      <c r="O288" s="37"/>
      <c r="P288" s="31" t="str">
        <f aca="false">IF(O288="","",IFERROR(INDEX(Reference_Data!$J$5:$J$14,MATCH(O288,Reference_Data!$H$5:$H$14,0)),""))</f>
        <v/>
      </c>
      <c r="Q288" s="37"/>
      <c r="R288" s="38"/>
      <c r="S288" s="12"/>
      <c r="T288" s="40" t="str">
        <f aca="false">IF(R288="","",R288+Reference_Data!$AL$6)</f>
        <v/>
      </c>
      <c r="U288" s="31" t="str">
        <f aca="true">IF(C288="","",IF(Q288="Yes","Decertification Record",IF(J288="","—",IF(COUNTIFS($C$5:$C$304,C288,$F$5:$F$304,F288,$J$5:$J$304,"&gt;"&amp;J288)&gt;0,"Superseded",IF(COUNTIFS($C$5:$C$304,C288,$F$5:$F$304,F288,$R$5:$R$304,"&gt;="&amp;J288)&gt;0,"Decertified",IF(K288&lt;TODAY(),"Expired","Active"))))))</f>
        <v/>
      </c>
      <c r="V288" s="37"/>
      <c r="W288" s="12"/>
    </row>
    <row r="289" customFormat="false" ht="15" hidden="false" customHeight="false" outlineLevel="0" collapsed="false">
      <c r="A289" s="37"/>
      <c r="B289" s="38"/>
      <c r="C289" s="37"/>
      <c r="D289" s="31" t="str">
        <f aca="false">IF($C289="","",IFERROR(INDEX(Employee_Master!$B$5:$B$104,MATCH($C289,Employee_Master!$A$5:$A$104,0)),"ID not found"))</f>
        <v/>
      </c>
      <c r="E289" s="31" t="str">
        <f aca="false">IF($C289="","",IFERROR(INDEX(Employee_Master!$C$5:$C$104,MATCH($C289,Employee_Master!$A$5:$A$104,0)),"ID not found"))</f>
        <v/>
      </c>
      <c r="F289" s="37"/>
      <c r="G289" s="37"/>
      <c r="H289" s="37"/>
      <c r="I289" s="39"/>
      <c r="J289" s="38"/>
      <c r="K289" s="40" t="str">
        <f aca="false">IF(J289="","",EDATE(J289,Reference_Data!$AL$5))</f>
        <v/>
      </c>
      <c r="L289" s="37"/>
      <c r="M289" s="12"/>
      <c r="N289" s="41"/>
      <c r="O289" s="37"/>
      <c r="P289" s="31" t="str">
        <f aca="false">IF(O289="","",IFERROR(INDEX(Reference_Data!$J$5:$J$14,MATCH(O289,Reference_Data!$H$5:$H$14,0)),""))</f>
        <v/>
      </c>
      <c r="Q289" s="37"/>
      <c r="R289" s="38"/>
      <c r="S289" s="12"/>
      <c r="T289" s="40" t="str">
        <f aca="false">IF(R289="","",R289+Reference_Data!$AL$6)</f>
        <v/>
      </c>
      <c r="U289" s="31" t="str">
        <f aca="true">IF(C289="","",IF(Q289="Yes","Decertification Record",IF(J289="","—",IF(COUNTIFS($C$5:$C$304,C289,$F$5:$F$304,F289,$J$5:$J$304,"&gt;"&amp;J289)&gt;0,"Superseded",IF(COUNTIFS($C$5:$C$304,C289,$F$5:$F$304,F289,$R$5:$R$304,"&gt;="&amp;J289)&gt;0,"Decertified",IF(K289&lt;TODAY(),"Expired","Active"))))))</f>
        <v/>
      </c>
      <c r="V289" s="37"/>
      <c r="W289" s="12"/>
    </row>
    <row r="290" customFormat="false" ht="15" hidden="false" customHeight="false" outlineLevel="0" collapsed="false">
      <c r="A290" s="37"/>
      <c r="B290" s="38"/>
      <c r="C290" s="37"/>
      <c r="D290" s="31" t="str">
        <f aca="false">IF($C290="","",IFERROR(INDEX(Employee_Master!$B$5:$B$104,MATCH($C290,Employee_Master!$A$5:$A$104,0)),"ID not found"))</f>
        <v/>
      </c>
      <c r="E290" s="31" t="str">
        <f aca="false">IF($C290="","",IFERROR(INDEX(Employee_Master!$C$5:$C$104,MATCH($C290,Employee_Master!$A$5:$A$104,0)),"ID not found"))</f>
        <v/>
      </c>
      <c r="F290" s="37"/>
      <c r="G290" s="37"/>
      <c r="H290" s="37"/>
      <c r="I290" s="39"/>
      <c r="J290" s="38"/>
      <c r="K290" s="40" t="str">
        <f aca="false">IF(J290="","",EDATE(J290,Reference_Data!$AL$5))</f>
        <v/>
      </c>
      <c r="L290" s="37"/>
      <c r="M290" s="12"/>
      <c r="N290" s="41"/>
      <c r="O290" s="37"/>
      <c r="P290" s="31" t="str">
        <f aca="false">IF(O290="","",IFERROR(INDEX(Reference_Data!$J$5:$J$14,MATCH(O290,Reference_Data!$H$5:$H$14,0)),""))</f>
        <v/>
      </c>
      <c r="Q290" s="37"/>
      <c r="R290" s="38"/>
      <c r="S290" s="12"/>
      <c r="T290" s="40" t="str">
        <f aca="false">IF(R290="","",R290+Reference_Data!$AL$6)</f>
        <v/>
      </c>
      <c r="U290" s="31" t="str">
        <f aca="true">IF(C290="","",IF(Q290="Yes","Decertification Record",IF(J290="","—",IF(COUNTIFS($C$5:$C$304,C290,$F$5:$F$304,F290,$J$5:$J$304,"&gt;"&amp;J290)&gt;0,"Superseded",IF(COUNTIFS($C$5:$C$304,C290,$F$5:$F$304,F290,$R$5:$R$304,"&gt;="&amp;J290)&gt;0,"Decertified",IF(K290&lt;TODAY(),"Expired","Active"))))))</f>
        <v/>
      </c>
      <c r="V290" s="37"/>
      <c r="W290" s="12"/>
    </row>
    <row r="291" customFormat="false" ht="15" hidden="false" customHeight="false" outlineLevel="0" collapsed="false">
      <c r="A291" s="37"/>
      <c r="B291" s="38"/>
      <c r="C291" s="37"/>
      <c r="D291" s="31" t="str">
        <f aca="false">IF($C291="","",IFERROR(INDEX(Employee_Master!$B$5:$B$104,MATCH($C291,Employee_Master!$A$5:$A$104,0)),"ID not found"))</f>
        <v/>
      </c>
      <c r="E291" s="31" t="str">
        <f aca="false">IF($C291="","",IFERROR(INDEX(Employee_Master!$C$5:$C$104,MATCH($C291,Employee_Master!$A$5:$A$104,0)),"ID not found"))</f>
        <v/>
      </c>
      <c r="F291" s="37"/>
      <c r="G291" s="37"/>
      <c r="H291" s="37"/>
      <c r="I291" s="39"/>
      <c r="J291" s="38"/>
      <c r="K291" s="40" t="str">
        <f aca="false">IF(J291="","",EDATE(J291,Reference_Data!$AL$5))</f>
        <v/>
      </c>
      <c r="L291" s="37"/>
      <c r="M291" s="12"/>
      <c r="N291" s="41"/>
      <c r="O291" s="37"/>
      <c r="P291" s="31" t="str">
        <f aca="false">IF(O291="","",IFERROR(INDEX(Reference_Data!$J$5:$J$14,MATCH(O291,Reference_Data!$H$5:$H$14,0)),""))</f>
        <v/>
      </c>
      <c r="Q291" s="37"/>
      <c r="R291" s="38"/>
      <c r="S291" s="12"/>
      <c r="T291" s="40" t="str">
        <f aca="false">IF(R291="","",R291+Reference_Data!$AL$6)</f>
        <v/>
      </c>
      <c r="U291" s="31" t="str">
        <f aca="true">IF(C291="","",IF(Q291="Yes","Decertification Record",IF(J291="","—",IF(COUNTIFS($C$5:$C$304,C291,$F$5:$F$304,F291,$J$5:$J$304,"&gt;"&amp;J291)&gt;0,"Superseded",IF(COUNTIFS($C$5:$C$304,C291,$F$5:$F$304,F291,$R$5:$R$304,"&gt;="&amp;J291)&gt;0,"Decertified",IF(K291&lt;TODAY(),"Expired","Active"))))))</f>
        <v/>
      </c>
      <c r="V291" s="37"/>
      <c r="W291" s="12"/>
    </row>
    <row r="292" customFormat="false" ht="15" hidden="false" customHeight="false" outlineLevel="0" collapsed="false">
      <c r="A292" s="37"/>
      <c r="B292" s="38"/>
      <c r="C292" s="37"/>
      <c r="D292" s="31" t="str">
        <f aca="false">IF($C292="","",IFERROR(INDEX(Employee_Master!$B$5:$B$104,MATCH($C292,Employee_Master!$A$5:$A$104,0)),"ID not found"))</f>
        <v/>
      </c>
      <c r="E292" s="31" t="str">
        <f aca="false">IF($C292="","",IFERROR(INDEX(Employee_Master!$C$5:$C$104,MATCH($C292,Employee_Master!$A$5:$A$104,0)),"ID not found"))</f>
        <v/>
      </c>
      <c r="F292" s="37"/>
      <c r="G292" s="37"/>
      <c r="H292" s="37"/>
      <c r="I292" s="39"/>
      <c r="J292" s="38"/>
      <c r="K292" s="40" t="str">
        <f aca="false">IF(J292="","",EDATE(J292,Reference_Data!$AL$5))</f>
        <v/>
      </c>
      <c r="L292" s="37"/>
      <c r="M292" s="12"/>
      <c r="N292" s="41"/>
      <c r="O292" s="37"/>
      <c r="P292" s="31" t="str">
        <f aca="false">IF(O292="","",IFERROR(INDEX(Reference_Data!$J$5:$J$14,MATCH(O292,Reference_Data!$H$5:$H$14,0)),""))</f>
        <v/>
      </c>
      <c r="Q292" s="37"/>
      <c r="R292" s="38"/>
      <c r="S292" s="12"/>
      <c r="T292" s="40" t="str">
        <f aca="false">IF(R292="","",R292+Reference_Data!$AL$6)</f>
        <v/>
      </c>
      <c r="U292" s="31" t="str">
        <f aca="true">IF(C292="","",IF(Q292="Yes","Decertification Record",IF(J292="","—",IF(COUNTIFS($C$5:$C$304,C292,$F$5:$F$304,F292,$J$5:$J$304,"&gt;"&amp;J292)&gt;0,"Superseded",IF(COUNTIFS($C$5:$C$304,C292,$F$5:$F$304,F292,$R$5:$R$304,"&gt;="&amp;J292)&gt;0,"Decertified",IF(K292&lt;TODAY(),"Expired","Active"))))))</f>
        <v/>
      </c>
      <c r="V292" s="37"/>
      <c r="W292" s="12"/>
    </row>
    <row r="293" customFormat="false" ht="15" hidden="false" customHeight="false" outlineLevel="0" collapsed="false">
      <c r="A293" s="37"/>
      <c r="B293" s="38"/>
      <c r="C293" s="37"/>
      <c r="D293" s="31" t="str">
        <f aca="false">IF($C293="","",IFERROR(INDEX(Employee_Master!$B$5:$B$104,MATCH($C293,Employee_Master!$A$5:$A$104,0)),"ID not found"))</f>
        <v/>
      </c>
      <c r="E293" s="31" t="str">
        <f aca="false">IF($C293="","",IFERROR(INDEX(Employee_Master!$C$5:$C$104,MATCH($C293,Employee_Master!$A$5:$A$104,0)),"ID not found"))</f>
        <v/>
      </c>
      <c r="F293" s="37"/>
      <c r="G293" s="37"/>
      <c r="H293" s="37"/>
      <c r="I293" s="39"/>
      <c r="J293" s="38"/>
      <c r="K293" s="40" t="str">
        <f aca="false">IF(J293="","",EDATE(J293,Reference_Data!$AL$5))</f>
        <v/>
      </c>
      <c r="L293" s="37"/>
      <c r="M293" s="12"/>
      <c r="N293" s="41"/>
      <c r="O293" s="37"/>
      <c r="P293" s="31" t="str">
        <f aca="false">IF(O293="","",IFERROR(INDEX(Reference_Data!$J$5:$J$14,MATCH(O293,Reference_Data!$H$5:$H$14,0)),""))</f>
        <v/>
      </c>
      <c r="Q293" s="37"/>
      <c r="R293" s="38"/>
      <c r="S293" s="12"/>
      <c r="T293" s="40" t="str">
        <f aca="false">IF(R293="","",R293+Reference_Data!$AL$6)</f>
        <v/>
      </c>
      <c r="U293" s="31" t="str">
        <f aca="true">IF(C293="","",IF(Q293="Yes","Decertification Record",IF(J293="","—",IF(COUNTIFS($C$5:$C$304,C293,$F$5:$F$304,F293,$J$5:$J$304,"&gt;"&amp;J293)&gt;0,"Superseded",IF(COUNTIFS($C$5:$C$304,C293,$F$5:$F$304,F293,$R$5:$R$304,"&gt;="&amp;J293)&gt;0,"Decertified",IF(K293&lt;TODAY(),"Expired","Active"))))))</f>
        <v/>
      </c>
      <c r="V293" s="37"/>
      <c r="W293" s="12"/>
    </row>
    <row r="294" customFormat="false" ht="15" hidden="false" customHeight="false" outlineLevel="0" collapsed="false">
      <c r="A294" s="37"/>
      <c r="B294" s="38"/>
      <c r="C294" s="37"/>
      <c r="D294" s="31" t="str">
        <f aca="false">IF($C294="","",IFERROR(INDEX(Employee_Master!$B$5:$B$104,MATCH($C294,Employee_Master!$A$5:$A$104,0)),"ID not found"))</f>
        <v/>
      </c>
      <c r="E294" s="31" t="str">
        <f aca="false">IF($C294="","",IFERROR(INDEX(Employee_Master!$C$5:$C$104,MATCH($C294,Employee_Master!$A$5:$A$104,0)),"ID not found"))</f>
        <v/>
      </c>
      <c r="F294" s="37"/>
      <c r="G294" s="37"/>
      <c r="H294" s="37"/>
      <c r="I294" s="39"/>
      <c r="J294" s="38"/>
      <c r="K294" s="40" t="str">
        <f aca="false">IF(J294="","",EDATE(J294,Reference_Data!$AL$5))</f>
        <v/>
      </c>
      <c r="L294" s="37"/>
      <c r="M294" s="12"/>
      <c r="N294" s="41"/>
      <c r="O294" s="37"/>
      <c r="P294" s="31" t="str">
        <f aca="false">IF(O294="","",IFERROR(INDEX(Reference_Data!$J$5:$J$14,MATCH(O294,Reference_Data!$H$5:$H$14,0)),""))</f>
        <v/>
      </c>
      <c r="Q294" s="37"/>
      <c r="R294" s="38"/>
      <c r="S294" s="12"/>
      <c r="T294" s="40" t="str">
        <f aca="false">IF(R294="","",R294+Reference_Data!$AL$6)</f>
        <v/>
      </c>
      <c r="U294" s="31" t="str">
        <f aca="true">IF(C294="","",IF(Q294="Yes","Decertification Record",IF(J294="","—",IF(COUNTIFS($C$5:$C$304,C294,$F$5:$F$304,F294,$J$5:$J$304,"&gt;"&amp;J294)&gt;0,"Superseded",IF(COUNTIFS($C$5:$C$304,C294,$F$5:$F$304,F294,$R$5:$R$304,"&gt;="&amp;J294)&gt;0,"Decertified",IF(K294&lt;TODAY(),"Expired","Active"))))))</f>
        <v/>
      </c>
      <c r="V294" s="37"/>
      <c r="W294" s="12"/>
    </row>
    <row r="295" customFormat="false" ht="15" hidden="false" customHeight="false" outlineLevel="0" collapsed="false">
      <c r="A295" s="37"/>
      <c r="B295" s="38"/>
      <c r="C295" s="37"/>
      <c r="D295" s="31" t="str">
        <f aca="false">IF($C295="","",IFERROR(INDEX(Employee_Master!$B$5:$B$104,MATCH($C295,Employee_Master!$A$5:$A$104,0)),"ID not found"))</f>
        <v/>
      </c>
      <c r="E295" s="31" t="str">
        <f aca="false">IF($C295="","",IFERROR(INDEX(Employee_Master!$C$5:$C$104,MATCH($C295,Employee_Master!$A$5:$A$104,0)),"ID not found"))</f>
        <v/>
      </c>
      <c r="F295" s="37"/>
      <c r="G295" s="37"/>
      <c r="H295" s="37"/>
      <c r="I295" s="39"/>
      <c r="J295" s="38"/>
      <c r="K295" s="40" t="str">
        <f aca="false">IF(J295="","",EDATE(J295,Reference_Data!$AL$5))</f>
        <v/>
      </c>
      <c r="L295" s="37"/>
      <c r="M295" s="12"/>
      <c r="N295" s="41"/>
      <c r="O295" s="37"/>
      <c r="P295" s="31" t="str">
        <f aca="false">IF(O295="","",IFERROR(INDEX(Reference_Data!$J$5:$J$14,MATCH(O295,Reference_Data!$H$5:$H$14,0)),""))</f>
        <v/>
      </c>
      <c r="Q295" s="37"/>
      <c r="R295" s="38"/>
      <c r="S295" s="12"/>
      <c r="T295" s="40" t="str">
        <f aca="false">IF(R295="","",R295+Reference_Data!$AL$6)</f>
        <v/>
      </c>
      <c r="U295" s="31" t="str">
        <f aca="true">IF(C295="","",IF(Q295="Yes","Decertification Record",IF(J295="","—",IF(COUNTIFS($C$5:$C$304,C295,$F$5:$F$304,F295,$J$5:$J$304,"&gt;"&amp;J295)&gt;0,"Superseded",IF(COUNTIFS($C$5:$C$304,C295,$F$5:$F$304,F295,$R$5:$R$304,"&gt;="&amp;J295)&gt;0,"Decertified",IF(K295&lt;TODAY(),"Expired","Active"))))))</f>
        <v/>
      </c>
      <c r="V295" s="37"/>
      <c r="W295" s="12"/>
    </row>
    <row r="296" customFormat="false" ht="15" hidden="false" customHeight="false" outlineLevel="0" collapsed="false">
      <c r="A296" s="37"/>
      <c r="B296" s="38"/>
      <c r="C296" s="37"/>
      <c r="D296" s="31" t="str">
        <f aca="false">IF($C296="","",IFERROR(INDEX(Employee_Master!$B$5:$B$104,MATCH($C296,Employee_Master!$A$5:$A$104,0)),"ID not found"))</f>
        <v/>
      </c>
      <c r="E296" s="31" t="str">
        <f aca="false">IF($C296="","",IFERROR(INDEX(Employee_Master!$C$5:$C$104,MATCH($C296,Employee_Master!$A$5:$A$104,0)),"ID not found"))</f>
        <v/>
      </c>
      <c r="F296" s="37"/>
      <c r="G296" s="37"/>
      <c r="H296" s="37"/>
      <c r="I296" s="39"/>
      <c r="J296" s="38"/>
      <c r="K296" s="40" t="str">
        <f aca="false">IF(J296="","",EDATE(J296,Reference_Data!$AL$5))</f>
        <v/>
      </c>
      <c r="L296" s="37"/>
      <c r="M296" s="12"/>
      <c r="N296" s="41"/>
      <c r="O296" s="37"/>
      <c r="P296" s="31" t="str">
        <f aca="false">IF(O296="","",IFERROR(INDEX(Reference_Data!$J$5:$J$14,MATCH(O296,Reference_Data!$H$5:$H$14,0)),""))</f>
        <v/>
      </c>
      <c r="Q296" s="37"/>
      <c r="R296" s="38"/>
      <c r="S296" s="12"/>
      <c r="T296" s="40" t="str">
        <f aca="false">IF(R296="","",R296+Reference_Data!$AL$6)</f>
        <v/>
      </c>
      <c r="U296" s="31" t="str">
        <f aca="true">IF(C296="","",IF(Q296="Yes","Decertification Record",IF(J296="","—",IF(COUNTIFS($C$5:$C$304,C296,$F$5:$F$304,F296,$J$5:$J$304,"&gt;"&amp;J296)&gt;0,"Superseded",IF(COUNTIFS($C$5:$C$304,C296,$F$5:$F$304,F296,$R$5:$R$304,"&gt;="&amp;J296)&gt;0,"Decertified",IF(K296&lt;TODAY(),"Expired","Active"))))))</f>
        <v/>
      </c>
      <c r="V296" s="37"/>
      <c r="W296" s="12"/>
    </row>
    <row r="297" customFormat="false" ht="15" hidden="false" customHeight="false" outlineLevel="0" collapsed="false">
      <c r="A297" s="37"/>
      <c r="B297" s="38"/>
      <c r="C297" s="37"/>
      <c r="D297" s="31" t="str">
        <f aca="false">IF($C297="","",IFERROR(INDEX(Employee_Master!$B$5:$B$104,MATCH($C297,Employee_Master!$A$5:$A$104,0)),"ID not found"))</f>
        <v/>
      </c>
      <c r="E297" s="31" t="str">
        <f aca="false">IF($C297="","",IFERROR(INDEX(Employee_Master!$C$5:$C$104,MATCH($C297,Employee_Master!$A$5:$A$104,0)),"ID not found"))</f>
        <v/>
      </c>
      <c r="F297" s="37"/>
      <c r="G297" s="37"/>
      <c r="H297" s="37"/>
      <c r="I297" s="39"/>
      <c r="J297" s="38"/>
      <c r="K297" s="40" t="str">
        <f aca="false">IF(J297="","",EDATE(J297,Reference_Data!$AL$5))</f>
        <v/>
      </c>
      <c r="L297" s="37"/>
      <c r="M297" s="12"/>
      <c r="N297" s="41"/>
      <c r="O297" s="37"/>
      <c r="P297" s="31" t="str">
        <f aca="false">IF(O297="","",IFERROR(INDEX(Reference_Data!$J$5:$J$14,MATCH(O297,Reference_Data!$H$5:$H$14,0)),""))</f>
        <v/>
      </c>
      <c r="Q297" s="37"/>
      <c r="R297" s="38"/>
      <c r="S297" s="12"/>
      <c r="T297" s="40" t="str">
        <f aca="false">IF(R297="","",R297+Reference_Data!$AL$6)</f>
        <v/>
      </c>
      <c r="U297" s="31" t="str">
        <f aca="true">IF(C297="","",IF(Q297="Yes","Decertification Record",IF(J297="","—",IF(COUNTIFS($C$5:$C$304,C297,$F$5:$F$304,F297,$J$5:$J$304,"&gt;"&amp;J297)&gt;0,"Superseded",IF(COUNTIFS($C$5:$C$304,C297,$F$5:$F$304,F297,$R$5:$R$304,"&gt;="&amp;J297)&gt;0,"Decertified",IF(K297&lt;TODAY(),"Expired","Active"))))))</f>
        <v/>
      </c>
      <c r="V297" s="37"/>
      <c r="W297" s="12"/>
    </row>
    <row r="298" customFormat="false" ht="15" hidden="false" customHeight="false" outlineLevel="0" collapsed="false">
      <c r="A298" s="37"/>
      <c r="B298" s="38"/>
      <c r="C298" s="37"/>
      <c r="D298" s="31" t="str">
        <f aca="false">IF($C298="","",IFERROR(INDEX(Employee_Master!$B$5:$B$104,MATCH($C298,Employee_Master!$A$5:$A$104,0)),"ID not found"))</f>
        <v/>
      </c>
      <c r="E298" s="31" t="str">
        <f aca="false">IF($C298="","",IFERROR(INDEX(Employee_Master!$C$5:$C$104,MATCH($C298,Employee_Master!$A$5:$A$104,0)),"ID not found"))</f>
        <v/>
      </c>
      <c r="F298" s="37"/>
      <c r="G298" s="37"/>
      <c r="H298" s="37"/>
      <c r="I298" s="39"/>
      <c r="J298" s="38"/>
      <c r="K298" s="40" t="str">
        <f aca="false">IF(J298="","",EDATE(J298,Reference_Data!$AL$5))</f>
        <v/>
      </c>
      <c r="L298" s="37"/>
      <c r="M298" s="12"/>
      <c r="N298" s="41"/>
      <c r="O298" s="37"/>
      <c r="P298" s="31" t="str">
        <f aca="false">IF(O298="","",IFERROR(INDEX(Reference_Data!$J$5:$J$14,MATCH(O298,Reference_Data!$H$5:$H$14,0)),""))</f>
        <v/>
      </c>
      <c r="Q298" s="37"/>
      <c r="R298" s="38"/>
      <c r="S298" s="12"/>
      <c r="T298" s="40" t="str">
        <f aca="false">IF(R298="","",R298+Reference_Data!$AL$6)</f>
        <v/>
      </c>
      <c r="U298" s="31" t="str">
        <f aca="true">IF(C298="","",IF(Q298="Yes","Decertification Record",IF(J298="","—",IF(COUNTIFS($C$5:$C$304,C298,$F$5:$F$304,F298,$J$5:$J$304,"&gt;"&amp;J298)&gt;0,"Superseded",IF(COUNTIFS($C$5:$C$304,C298,$F$5:$F$304,F298,$R$5:$R$304,"&gt;="&amp;J298)&gt;0,"Decertified",IF(K298&lt;TODAY(),"Expired","Active"))))))</f>
        <v/>
      </c>
      <c r="V298" s="37"/>
      <c r="W298" s="12"/>
    </row>
    <row r="299" customFormat="false" ht="15" hidden="false" customHeight="false" outlineLevel="0" collapsed="false">
      <c r="A299" s="37"/>
      <c r="B299" s="38"/>
      <c r="C299" s="37"/>
      <c r="D299" s="31" t="str">
        <f aca="false">IF($C299="","",IFERROR(INDEX(Employee_Master!$B$5:$B$104,MATCH($C299,Employee_Master!$A$5:$A$104,0)),"ID not found"))</f>
        <v/>
      </c>
      <c r="E299" s="31" t="str">
        <f aca="false">IF($C299="","",IFERROR(INDEX(Employee_Master!$C$5:$C$104,MATCH($C299,Employee_Master!$A$5:$A$104,0)),"ID not found"))</f>
        <v/>
      </c>
      <c r="F299" s="37"/>
      <c r="G299" s="37"/>
      <c r="H299" s="37"/>
      <c r="I299" s="39"/>
      <c r="J299" s="38"/>
      <c r="K299" s="40" t="str">
        <f aca="false">IF(J299="","",EDATE(J299,Reference_Data!$AL$5))</f>
        <v/>
      </c>
      <c r="L299" s="37"/>
      <c r="M299" s="12"/>
      <c r="N299" s="41"/>
      <c r="O299" s="37"/>
      <c r="P299" s="31" t="str">
        <f aca="false">IF(O299="","",IFERROR(INDEX(Reference_Data!$J$5:$J$14,MATCH(O299,Reference_Data!$H$5:$H$14,0)),""))</f>
        <v/>
      </c>
      <c r="Q299" s="37"/>
      <c r="R299" s="38"/>
      <c r="S299" s="12"/>
      <c r="T299" s="40" t="str">
        <f aca="false">IF(R299="","",R299+Reference_Data!$AL$6)</f>
        <v/>
      </c>
      <c r="U299" s="31" t="str">
        <f aca="true">IF(C299="","",IF(Q299="Yes","Decertification Record",IF(J299="","—",IF(COUNTIFS($C$5:$C$304,C299,$F$5:$F$304,F299,$J$5:$J$304,"&gt;"&amp;J299)&gt;0,"Superseded",IF(COUNTIFS($C$5:$C$304,C299,$F$5:$F$304,F299,$R$5:$R$304,"&gt;="&amp;J299)&gt;0,"Decertified",IF(K299&lt;TODAY(),"Expired","Active"))))))</f>
        <v/>
      </c>
      <c r="V299" s="37"/>
      <c r="W299" s="12"/>
    </row>
    <row r="300" customFormat="false" ht="15" hidden="false" customHeight="false" outlineLevel="0" collapsed="false">
      <c r="A300" s="37"/>
      <c r="B300" s="38"/>
      <c r="C300" s="37"/>
      <c r="D300" s="31" t="str">
        <f aca="false">IF($C300="","",IFERROR(INDEX(Employee_Master!$B$5:$B$104,MATCH($C300,Employee_Master!$A$5:$A$104,0)),"ID not found"))</f>
        <v/>
      </c>
      <c r="E300" s="31" t="str">
        <f aca="false">IF($C300="","",IFERROR(INDEX(Employee_Master!$C$5:$C$104,MATCH($C300,Employee_Master!$A$5:$A$104,0)),"ID not found"))</f>
        <v/>
      </c>
      <c r="F300" s="37"/>
      <c r="G300" s="37"/>
      <c r="H300" s="37"/>
      <c r="I300" s="39"/>
      <c r="J300" s="38"/>
      <c r="K300" s="40" t="str">
        <f aca="false">IF(J300="","",EDATE(J300,Reference_Data!$AL$5))</f>
        <v/>
      </c>
      <c r="L300" s="37"/>
      <c r="M300" s="12"/>
      <c r="N300" s="41"/>
      <c r="O300" s="37"/>
      <c r="P300" s="31" t="str">
        <f aca="false">IF(O300="","",IFERROR(INDEX(Reference_Data!$J$5:$J$14,MATCH(O300,Reference_Data!$H$5:$H$14,0)),""))</f>
        <v/>
      </c>
      <c r="Q300" s="37"/>
      <c r="R300" s="38"/>
      <c r="S300" s="12"/>
      <c r="T300" s="40" t="str">
        <f aca="false">IF(R300="","",R300+Reference_Data!$AL$6)</f>
        <v/>
      </c>
      <c r="U300" s="31" t="str">
        <f aca="true">IF(C300="","",IF(Q300="Yes","Decertification Record",IF(J300="","—",IF(COUNTIFS($C$5:$C$304,C300,$F$5:$F$304,F300,$J$5:$J$304,"&gt;"&amp;J300)&gt;0,"Superseded",IF(COUNTIFS($C$5:$C$304,C300,$F$5:$F$304,F300,$R$5:$R$304,"&gt;="&amp;J300)&gt;0,"Decertified",IF(K300&lt;TODAY(),"Expired","Active"))))))</f>
        <v/>
      </c>
      <c r="V300" s="37"/>
      <c r="W300" s="12"/>
    </row>
    <row r="301" customFormat="false" ht="15" hidden="false" customHeight="false" outlineLevel="0" collapsed="false">
      <c r="A301" s="37"/>
      <c r="B301" s="38"/>
      <c r="C301" s="37"/>
      <c r="D301" s="31" t="str">
        <f aca="false">IF($C301="","",IFERROR(INDEX(Employee_Master!$B$5:$B$104,MATCH($C301,Employee_Master!$A$5:$A$104,0)),"ID not found"))</f>
        <v/>
      </c>
      <c r="E301" s="31" t="str">
        <f aca="false">IF($C301="","",IFERROR(INDEX(Employee_Master!$C$5:$C$104,MATCH($C301,Employee_Master!$A$5:$A$104,0)),"ID not found"))</f>
        <v/>
      </c>
      <c r="F301" s="37"/>
      <c r="G301" s="37"/>
      <c r="H301" s="37"/>
      <c r="I301" s="39"/>
      <c r="J301" s="38"/>
      <c r="K301" s="40" t="str">
        <f aca="false">IF(J301="","",EDATE(J301,Reference_Data!$AL$5))</f>
        <v/>
      </c>
      <c r="L301" s="37"/>
      <c r="M301" s="12"/>
      <c r="N301" s="41"/>
      <c r="O301" s="37"/>
      <c r="P301" s="31" t="str">
        <f aca="false">IF(O301="","",IFERROR(INDEX(Reference_Data!$J$5:$J$14,MATCH(O301,Reference_Data!$H$5:$H$14,0)),""))</f>
        <v/>
      </c>
      <c r="Q301" s="37"/>
      <c r="R301" s="38"/>
      <c r="S301" s="12"/>
      <c r="T301" s="40" t="str">
        <f aca="false">IF(R301="","",R301+Reference_Data!$AL$6)</f>
        <v/>
      </c>
      <c r="U301" s="31" t="str">
        <f aca="true">IF(C301="","",IF(Q301="Yes","Decertification Record",IF(J301="","—",IF(COUNTIFS($C$5:$C$304,C301,$F$5:$F$304,F301,$J$5:$J$304,"&gt;"&amp;J301)&gt;0,"Superseded",IF(COUNTIFS($C$5:$C$304,C301,$F$5:$F$304,F301,$R$5:$R$304,"&gt;="&amp;J301)&gt;0,"Decertified",IF(K301&lt;TODAY(),"Expired","Active"))))))</f>
        <v/>
      </c>
      <c r="V301" s="37"/>
      <c r="W301" s="12"/>
    </row>
    <row r="302" customFormat="false" ht="15" hidden="false" customHeight="false" outlineLevel="0" collapsed="false">
      <c r="A302" s="37"/>
      <c r="B302" s="38"/>
      <c r="C302" s="37"/>
      <c r="D302" s="31" t="str">
        <f aca="false">IF($C302="","",IFERROR(INDEX(Employee_Master!$B$5:$B$104,MATCH($C302,Employee_Master!$A$5:$A$104,0)),"ID not found"))</f>
        <v/>
      </c>
      <c r="E302" s="31" t="str">
        <f aca="false">IF($C302="","",IFERROR(INDEX(Employee_Master!$C$5:$C$104,MATCH($C302,Employee_Master!$A$5:$A$104,0)),"ID not found"))</f>
        <v/>
      </c>
      <c r="F302" s="37"/>
      <c r="G302" s="37"/>
      <c r="H302" s="37"/>
      <c r="I302" s="39"/>
      <c r="J302" s="38"/>
      <c r="K302" s="40" t="str">
        <f aca="false">IF(J302="","",EDATE(J302,Reference_Data!$AL$5))</f>
        <v/>
      </c>
      <c r="L302" s="37"/>
      <c r="M302" s="12"/>
      <c r="N302" s="41"/>
      <c r="O302" s="37"/>
      <c r="P302" s="31" t="str">
        <f aca="false">IF(O302="","",IFERROR(INDEX(Reference_Data!$J$5:$J$14,MATCH(O302,Reference_Data!$H$5:$H$14,0)),""))</f>
        <v/>
      </c>
      <c r="Q302" s="37"/>
      <c r="R302" s="38"/>
      <c r="S302" s="12"/>
      <c r="T302" s="40" t="str">
        <f aca="false">IF(R302="","",R302+Reference_Data!$AL$6)</f>
        <v/>
      </c>
      <c r="U302" s="31" t="str">
        <f aca="true">IF(C302="","",IF(Q302="Yes","Decertification Record",IF(J302="","—",IF(COUNTIFS($C$5:$C$304,C302,$F$5:$F$304,F302,$J$5:$J$304,"&gt;"&amp;J302)&gt;0,"Superseded",IF(COUNTIFS($C$5:$C$304,C302,$F$5:$F$304,F302,$R$5:$R$304,"&gt;="&amp;J302)&gt;0,"Decertified",IF(K302&lt;TODAY(),"Expired","Active"))))))</f>
        <v/>
      </c>
      <c r="V302" s="37"/>
      <c r="W302" s="12"/>
    </row>
    <row r="303" customFormat="false" ht="15" hidden="false" customHeight="false" outlineLevel="0" collapsed="false">
      <c r="A303" s="37"/>
      <c r="B303" s="38"/>
      <c r="C303" s="37"/>
      <c r="D303" s="31" t="str">
        <f aca="false">IF($C303="","",IFERROR(INDEX(Employee_Master!$B$5:$B$104,MATCH($C303,Employee_Master!$A$5:$A$104,0)),"ID not found"))</f>
        <v/>
      </c>
      <c r="E303" s="31" t="str">
        <f aca="false">IF($C303="","",IFERROR(INDEX(Employee_Master!$C$5:$C$104,MATCH($C303,Employee_Master!$A$5:$A$104,0)),"ID not found"))</f>
        <v/>
      </c>
      <c r="F303" s="37"/>
      <c r="G303" s="37"/>
      <c r="H303" s="37"/>
      <c r="I303" s="39"/>
      <c r="J303" s="38"/>
      <c r="K303" s="40" t="str">
        <f aca="false">IF(J303="","",EDATE(J303,Reference_Data!$AL$5))</f>
        <v/>
      </c>
      <c r="L303" s="37"/>
      <c r="M303" s="12"/>
      <c r="N303" s="41"/>
      <c r="O303" s="37"/>
      <c r="P303" s="31" t="str">
        <f aca="false">IF(O303="","",IFERROR(INDEX(Reference_Data!$J$5:$J$14,MATCH(O303,Reference_Data!$H$5:$H$14,0)),""))</f>
        <v/>
      </c>
      <c r="Q303" s="37"/>
      <c r="R303" s="38"/>
      <c r="S303" s="12"/>
      <c r="T303" s="40" t="str">
        <f aca="false">IF(R303="","",R303+Reference_Data!$AL$6)</f>
        <v/>
      </c>
      <c r="U303" s="31" t="str">
        <f aca="true">IF(C303="","",IF(Q303="Yes","Decertification Record",IF(J303="","—",IF(COUNTIFS($C$5:$C$304,C303,$F$5:$F$304,F303,$J$5:$J$304,"&gt;"&amp;J303)&gt;0,"Superseded",IF(COUNTIFS($C$5:$C$304,C303,$F$5:$F$304,F303,$R$5:$R$304,"&gt;="&amp;J303)&gt;0,"Decertified",IF(K303&lt;TODAY(),"Expired","Active"))))))</f>
        <v/>
      </c>
      <c r="V303" s="37"/>
      <c r="W303" s="12"/>
    </row>
    <row r="304" customFormat="false" ht="15" hidden="false" customHeight="false" outlineLevel="0" collapsed="false">
      <c r="A304" s="37"/>
      <c r="B304" s="38"/>
      <c r="C304" s="37"/>
      <c r="D304" s="31" t="str">
        <f aca="false">IF($C304="","",IFERROR(INDEX(Employee_Master!$B$5:$B$104,MATCH($C304,Employee_Master!$A$5:$A$104,0)),"ID not found"))</f>
        <v/>
      </c>
      <c r="E304" s="31" t="str">
        <f aca="false">IF($C304="","",IFERROR(INDEX(Employee_Master!$C$5:$C$104,MATCH($C304,Employee_Master!$A$5:$A$104,0)),"ID not found"))</f>
        <v/>
      </c>
      <c r="F304" s="37"/>
      <c r="G304" s="37"/>
      <c r="H304" s="37"/>
      <c r="I304" s="39"/>
      <c r="J304" s="38"/>
      <c r="K304" s="40" t="str">
        <f aca="false">IF(J304="","",EDATE(J304,Reference_Data!$AL$5))</f>
        <v/>
      </c>
      <c r="L304" s="37"/>
      <c r="M304" s="12"/>
      <c r="N304" s="41"/>
      <c r="O304" s="37"/>
      <c r="P304" s="31" t="str">
        <f aca="false">IF(O304="","",IFERROR(INDEX(Reference_Data!$J$5:$J$14,MATCH(O304,Reference_Data!$H$5:$H$14,0)),""))</f>
        <v/>
      </c>
      <c r="Q304" s="37"/>
      <c r="R304" s="38"/>
      <c r="S304" s="12"/>
      <c r="T304" s="40" t="str">
        <f aca="false">IF(R304="","",R304+Reference_Data!$AL$6)</f>
        <v/>
      </c>
      <c r="U304" s="31" t="str">
        <f aca="true">IF(C304="","",IF(Q304="Yes","Decertification Record",IF(J304="","—",IF(COUNTIFS($C$5:$C$304,C304,$F$5:$F$304,F304,$J$5:$J$304,"&gt;"&amp;J304)&gt;0,"Superseded",IF(COUNTIFS($C$5:$C$304,C304,$F$5:$F$304,F304,$R$5:$R$304,"&gt;="&amp;J304)&gt;0,"Decertified",IF(K304&lt;TODAY(),"Expired","Active"))))))</f>
        <v/>
      </c>
      <c r="V304" s="37"/>
      <c r="W304" s="12"/>
    </row>
  </sheetData>
  <autoFilter ref="A4:W304"/>
  <conditionalFormatting sqref="U5:U304">
    <cfRule type="cellIs" priority="2" operator="equal" aboveAverage="0" equalAverage="0" bottom="0" percent="0" rank="0" text="" dxfId="8">
      <formula>"Active"</formula>
    </cfRule>
    <cfRule type="cellIs" priority="3" operator="equal" aboveAverage="0" equalAverage="0" bottom="0" percent="0" rank="0" text="" dxfId="11">
      <formula>"Expired"</formula>
    </cfRule>
    <cfRule type="expression" priority="4" aboveAverage="0" equalAverage="0" bottom="0" percent="0" rank="0" text="" dxfId="10">
      <formula>LEFT(U5,5)="Decer"</formula>
    </cfRule>
    <cfRule type="cellIs" priority="5" operator="equal" aboveAverage="0" equalAverage="0" bottom="0" percent="0" rank="0" text="" dxfId="14">
      <formula>"Superseded"</formula>
    </cfRule>
  </conditionalFormatting>
  <conditionalFormatting sqref="O5:O304">
    <cfRule type="cellIs" priority="6" operator="equal" aboveAverage="0" equalAverage="0" bottom="0" percent="0" rank="0" text="" dxfId="10">
      <formula>"Critical"</formula>
    </cfRule>
    <cfRule type="cellIs" priority="7" operator="equal" aboveAverage="0" equalAverage="0" bottom="0" percent="0" rank="0" text="" dxfId="11">
      <formula>"Major"</formula>
    </cfRule>
  </conditionalFormatting>
  <dataValidations count="7">
    <dataValidation allowBlank="true" error="Select a value from the dropdown list." errorStyle="stop" errorTitle="Invalid entry" operator="between" prompt="Select Employee ID from Employee_Master." promptTitle="Input" showDropDown="false" showErrorMessage="true" showInputMessage="true" sqref="C5:C304" type="list">
      <formula1>List_EmployeeID</formula1>
      <formula2>0</formula2>
    </dataValidation>
    <dataValidation allowBlank="true" error="Select a value from the dropdown list." errorStyle="stop" errorTitle="Invalid entry" operator="between" showDropDown="false" showErrorMessage="true" showInputMessage="false" sqref="F5:F304" type="list">
      <formula1>List_Process</formula1>
      <formula2>0</formula2>
    </dataValidation>
    <dataValidation allowBlank="true" error="Select a value from the dropdown list." errorStyle="stop" errorTitle="Invalid entry" operator="between" showDropDown="false" showErrorMessage="true" showInputMessage="false" sqref="G5:G304" type="list">
      <formula1>List_EventType</formula1>
      <formula2>0</formula2>
    </dataValidation>
    <dataValidation allowBlank="true" error="Select a value from the dropdown list." errorStyle="stop" errorTitle="Invalid entry" operator="between" showDropDown="false" showErrorMessage="true" showInputMessage="false" sqref="H5:H304" type="list">
      <formula1>List_CertLevel</formula1>
      <formula2>0</formula2>
    </dataValidation>
    <dataValidation allowBlank="true" error="Select a value from the dropdown list." errorStyle="stop" errorTitle="Invalid entry" operator="between" showDropDown="false" showErrorMessage="true" showInputMessage="false" sqref="L5:L304" type="list">
      <formula1>List_COQ</formula1>
      <formula2>0</formula2>
    </dataValidation>
    <dataValidation allowBlank="true" error="Select a value from the dropdown list." errorStyle="stop" errorTitle="Invalid entry" operator="between" prompt="Required for Quality Incidents; leave blank for Prevention/Appraisal." promptTitle="Input" showDropDown="false" showErrorMessage="true" showInputMessage="true" sqref="O5:O304" type="list">
      <formula1>List_Severity</formula1>
      <formula2>0</formula2>
    </dataValidation>
    <dataValidation allowBlank="true" error="Select a value from the dropdown list." errorStyle="stop" errorTitle="Invalid entry" operator="between" showDropDown="false" showErrorMessage="true" showInputMessage="false" sqref="Q5:Q304" type="list">
      <formula1>List_YesNo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22"/>
    <col collapsed="false" customWidth="true" hidden="false" outlineLevel="0" max="5" min="5" style="0" width="18"/>
    <col collapsed="false" customWidth="true" hidden="false" outlineLevel="0" max="6" min="6" style="0" width="28"/>
    <col collapsed="false" customWidth="true" hidden="false" outlineLevel="0" max="7" min="7" style="0" width="18"/>
    <col collapsed="false" customWidth="true" hidden="false" outlineLevel="0" max="8" min="8" style="0" width="11"/>
    <col collapsed="false" customWidth="true" hidden="false" outlineLevel="0" max="9" min="9" style="0" width="26"/>
    <col collapsed="false" customWidth="true" hidden="false" outlineLevel="0" max="10" min="10" style="0" width="44"/>
    <col collapsed="false" customWidth="true" hidden="false" outlineLevel="0" max="11" min="11" style="0" width="16"/>
    <col collapsed="false" customWidth="true" hidden="false" outlineLevel="0" max="12" min="12" style="0" width="9"/>
    <col collapsed="false" customWidth="true" hidden="false" outlineLevel="0" max="13" min="13" style="0" width="16"/>
    <col collapsed="false" customWidth="true" hidden="false" outlineLevel="0" max="15" min="14" style="0" width="12"/>
    <col collapsed="false" customWidth="true" hidden="false" outlineLevel="0" max="16" min="16" style="0" width="26"/>
    <col collapsed="false" customWidth="true" hidden="false" outlineLevel="0" max="17" min="17" style="0" width="10"/>
    <col collapsed="false" customWidth="true" hidden="false" outlineLevel="0" max="18" min="18" style="0" width="30"/>
  </cols>
  <sheetData>
    <row r="1" customFormat="false" ht="17.35" hidden="false" customHeight="false" outlineLevel="0" collapsed="false">
      <c r="A1" s="14" t="s">
        <v>311</v>
      </c>
    </row>
    <row r="2" customFormat="false" ht="15" hidden="false" customHeight="false" outlineLevel="0" collapsed="false">
      <c r="A2" s="2" t="s">
        <v>312</v>
      </c>
    </row>
    <row r="3" customFormat="false" ht="15" hidden="false" customHeight="false" outlineLevel="0" collapsed="false">
      <c r="A3" s="35" t="s">
        <v>224</v>
      </c>
    </row>
    <row r="4" customFormat="false" ht="31.5" hidden="false" customHeight="true" outlineLevel="0" collapsed="false">
      <c r="A4" s="36" t="s">
        <v>313</v>
      </c>
      <c r="B4" s="36" t="s">
        <v>314</v>
      </c>
      <c r="C4" s="36" t="s">
        <v>215</v>
      </c>
      <c r="D4" s="11" t="s">
        <v>216</v>
      </c>
      <c r="E4" s="11" t="s">
        <v>315</v>
      </c>
      <c r="F4" s="36" t="s">
        <v>81</v>
      </c>
      <c r="G4" s="36" t="s">
        <v>316</v>
      </c>
      <c r="H4" s="11" t="s">
        <v>317</v>
      </c>
      <c r="I4" s="36" t="s">
        <v>318</v>
      </c>
      <c r="J4" s="36" t="s">
        <v>319</v>
      </c>
      <c r="K4" s="36" t="s">
        <v>320</v>
      </c>
      <c r="L4" s="11" t="s">
        <v>83</v>
      </c>
      <c r="M4" s="36" t="s">
        <v>321</v>
      </c>
      <c r="N4" s="36" t="s">
        <v>322</v>
      </c>
      <c r="O4" s="36" t="s">
        <v>323</v>
      </c>
      <c r="P4" s="36" t="s">
        <v>324</v>
      </c>
      <c r="Q4" s="11" t="s">
        <v>325</v>
      </c>
      <c r="R4" s="36" t="s">
        <v>241</v>
      </c>
    </row>
    <row r="5" customFormat="false" ht="23.85" hidden="false" customHeight="false" outlineLevel="0" collapsed="false">
      <c r="A5" s="37" t="s">
        <v>326</v>
      </c>
      <c r="B5" s="38" t="n">
        <v>46073</v>
      </c>
      <c r="C5" s="37" t="s">
        <v>263</v>
      </c>
      <c r="D5" s="31" t="str">
        <f aca="false">IF($C5="","",IFERROR(INDEX(Employee_Master!$B$5:$B$104,MATCH($C5,Employee_Master!$A$5:$A$104,0)),"ID not found"))</f>
        <v>Grace Bautista</v>
      </c>
      <c r="E5" s="31" t="str">
        <f aca="false">IF($C5="","",IFERROR(INDEX(Employee_Master!$C$5:$C$104,MATCH($C5,Employee_Master!$A$5:$A$104,0)),"ID not found"))</f>
        <v>Quality Assurance</v>
      </c>
      <c r="F5" s="37" t="s">
        <v>327</v>
      </c>
      <c r="G5" s="37" t="s">
        <v>328</v>
      </c>
      <c r="H5" s="31" t="str">
        <f aca="false">IF(OR(C5="",G5=""),"",IF(G5&lt;&gt;E5,"Yes","No"))</f>
        <v>No</v>
      </c>
      <c r="I5" s="12" t="s">
        <v>329</v>
      </c>
      <c r="J5" s="12" t="s">
        <v>330</v>
      </c>
      <c r="K5" s="37" t="s">
        <v>266</v>
      </c>
      <c r="L5" s="31" t="n">
        <f aca="false">IF(F5="","",IFERROR(INDEX(Reference_Data!$P$5:$P$14,MATCH(F5,Reference_Data!$O$5:$O$14,0)),0))</f>
        <v>20</v>
      </c>
      <c r="M5" s="37" t="s">
        <v>331</v>
      </c>
      <c r="N5" s="37" t="s">
        <v>332</v>
      </c>
      <c r="O5" s="38" t="n">
        <v>46083</v>
      </c>
      <c r="P5" s="37" t="s">
        <v>333</v>
      </c>
      <c r="Q5" s="31" t="n">
        <f aca="false">IF(AND(N5="Approved",L5&lt;&gt;""),L5,0)</f>
        <v>20</v>
      </c>
      <c r="R5" s="12"/>
    </row>
    <row r="6" customFormat="false" ht="23.85" hidden="false" customHeight="false" outlineLevel="0" collapsed="false">
      <c r="A6" s="37" t="s">
        <v>334</v>
      </c>
      <c r="B6" s="38" t="n">
        <v>46106</v>
      </c>
      <c r="C6" s="37" t="s">
        <v>258</v>
      </c>
      <c r="D6" s="31" t="str">
        <f aca="false">IF($C6="","",IFERROR(INDEX(Employee_Master!$B$5:$B$104,MATCH($C6,Employee_Master!$A$5:$A$104,0)),"ID not found"))</f>
        <v>Ella Navarro</v>
      </c>
      <c r="E6" s="31" t="str">
        <f aca="false">IF($C6="","",IFERROR(INDEX(Employee_Master!$C$5:$C$104,MATCH($C6,Employee_Master!$A$5:$A$104,0)),"ID not found"))</f>
        <v>Interconnection</v>
      </c>
      <c r="F6" s="37" t="s">
        <v>335</v>
      </c>
      <c r="G6" s="37" t="s">
        <v>336</v>
      </c>
      <c r="H6" s="31" t="str">
        <f aca="false">IF(OR(C6="",G6=""),"",IF(G6&lt;&gt;E6,"Yes","No"))</f>
        <v>Yes</v>
      </c>
      <c r="I6" s="12" t="s">
        <v>337</v>
      </c>
      <c r="J6" s="12" t="s">
        <v>338</v>
      </c>
      <c r="K6" s="37" t="s">
        <v>339</v>
      </c>
      <c r="L6" s="31" t="n">
        <f aca="false">IF(F6="","",IFERROR(INDEX(Reference_Data!$P$5:$P$14,MATCH(F6,Reference_Data!$O$5:$O$14,0)),0))</f>
        <v>15</v>
      </c>
      <c r="M6" s="37" t="s">
        <v>340</v>
      </c>
      <c r="N6" s="37" t="s">
        <v>332</v>
      </c>
      <c r="O6" s="38" t="n">
        <v>46113</v>
      </c>
      <c r="P6" s="37" t="s">
        <v>341</v>
      </c>
      <c r="Q6" s="31" t="n">
        <f aca="false">IF(AND(N6="Approved",L6&lt;&gt;""),L6,0)</f>
        <v>15</v>
      </c>
      <c r="R6" s="12"/>
    </row>
    <row r="7" customFormat="false" ht="23.85" hidden="false" customHeight="false" outlineLevel="0" collapsed="false">
      <c r="A7" s="37" t="s">
        <v>342</v>
      </c>
      <c r="B7" s="38" t="n">
        <v>46122</v>
      </c>
      <c r="C7" s="37" t="s">
        <v>243</v>
      </c>
      <c r="D7" s="31" t="str">
        <f aca="false">IF($C7="","",IFERROR(INDEX(Employee_Master!$B$5:$B$104,MATCH($C7,Employee_Master!$A$5:$A$104,0)),"ID not found"))</f>
        <v>Andrea Villanueva</v>
      </c>
      <c r="E7" s="31" t="str">
        <f aca="false">IF($C7="","",IFERROR(INDEX(Employee_Master!$C$5:$C$104,MATCH($C7,Employee_Master!$A$5:$A$104,0)),"ID not found"))</f>
        <v>Design</v>
      </c>
      <c r="F7" s="37" t="s">
        <v>343</v>
      </c>
      <c r="G7" s="37" t="s">
        <v>344</v>
      </c>
      <c r="H7" s="31" t="str">
        <f aca="false">IF(OR(C7="",G7=""),"",IF(G7&lt;&gt;E7,"Yes","No"))</f>
        <v>No</v>
      </c>
      <c r="I7" s="12" t="s">
        <v>345</v>
      </c>
      <c r="J7" s="12" t="s">
        <v>346</v>
      </c>
      <c r="K7" s="37" t="s">
        <v>248</v>
      </c>
      <c r="L7" s="31" t="n">
        <f aca="false">IF(F7="","",IFERROR(INDEX(Reference_Data!$P$5:$P$14,MATCH(F7,Reference_Data!$O$5:$O$14,0)),0))</f>
        <v>25</v>
      </c>
      <c r="M7" s="37" t="s">
        <v>331</v>
      </c>
      <c r="N7" s="37" t="s">
        <v>332</v>
      </c>
      <c r="O7" s="38" t="n">
        <v>46132</v>
      </c>
      <c r="P7" s="37" t="s">
        <v>347</v>
      </c>
      <c r="Q7" s="31" t="n">
        <f aca="false">IF(AND(N7="Approved",L7&lt;&gt;""),L7,0)</f>
        <v>25</v>
      </c>
      <c r="R7" s="12"/>
    </row>
    <row r="8" customFormat="false" ht="23.85" hidden="false" customHeight="false" outlineLevel="0" collapsed="false">
      <c r="A8" s="37" t="s">
        <v>348</v>
      </c>
      <c r="B8" s="38" t="n">
        <v>46160</v>
      </c>
      <c r="C8" s="37" t="s">
        <v>268</v>
      </c>
      <c r="D8" s="31" t="str">
        <f aca="false">IF($C8="","",IFERROR(INDEX(Employee_Master!$B$5:$B$104,MATCH($C8,Employee_Master!$A$5:$A$104,0)),"ID not found"))</f>
        <v>Hector Lim</v>
      </c>
      <c r="E8" s="31" t="str">
        <f aca="false">IF($C8="","",IFERROR(INDEX(Employee_Master!$C$5:$C$104,MATCH($C8,Employee_Master!$A$5:$A$104,0)),"ID not found"))</f>
        <v>Quality Assurance</v>
      </c>
      <c r="F8" s="37" t="s">
        <v>349</v>
      </c>
      <c r="G8" s="37" t="s">
        <v>344</v>
      </c>
      <c r="H8" s="31" t="str">
        <f aca="false">IF(OR(C8="",G8=""),"",IF(G8&lt;&gt;E8,"Yes","No"))</f>
        <v>Yes</v>
      </c>
      <c r="I8" s="12" t="s">
        <v>350</v>
      </c>
      <c r="J8" s="12" t="s">
        <v>351</v>
      </c>
      <c r="K8" s="37" t="s">
        <v>248</v>
      </c>
      <c r="L8" s="31" t="n">
        <f aca="false">IF(F8="","",IFERROR(INDEX(Reference_Data!$P$5:$P$14,MATCH(F8,Reference_Data!$O$5:$O$14,0)),0))</f>
        <v>15</v>
      </c>
      <c r="M8" s="37" t="s">
        <v>331</v>
      </c>
      <c r="N8" s="37" t="s">
        <v>332</v>
      </c>
      <c r="O8" s="38" t="n">
        <v>46167</v>
      </c>
      <c r="P8" s="37" t="s">
        <v>352</v>
      </c>
      <c r="Q8" s="31" t="n">
        <f aca="false">IF(AND(N8="Approved",L8&lt;&gt;""),L8,0)</f>
        <v>15</v>
      </c>
      <c r="R8" s="12"/>
    </row>
    <row r="9" customFormat="false" ht="23.85" hidden="false" customHeight="false" outlineLevel="0" collapsed="false">
      <c r="A9" s="37" t="s">
        <v>353</v>
      </c>
      <c r="B9" s="38" t="n">
        <v>46203</v>
      </c>
      <c r="C9" s="37" t="s">
        <v>253</v>
      </c>
      <c r="D9" s="31" t="str">
        <f aca="false">IF($C9="","",IFERROR(INDEX(Employee_Master!$B$5:$B$104,MATCH($C9,Employee_Master!$A$5:$A$104,0)),"ID not found"))</f>
        <v>Bea Santos</v>
      </c>
      <c r="E9" s="31" t="str">
        <f aca="false">IF($C9="","",IFERROR(INDEX(Employee_Master!$C$5:$C$104,MATCH($C9,Employee_Master!$A$5:$A$104,0)),"ID not found"))</f>
        <v>Permitting</v>
      </c>
      <c r="F9" s="37" t="s">
        <v>354</v>
      </c>
      <c r="G9" s="37" t="s">
        <v>336</v>
      </c>
      <c r="H9" s="31" t="str">
        <f aca="false">IF(OR(C9="",G9=""),"",IF(G9&lt;&gt;E9,"Yes","No"))</f>
        <v>No</v>
      </c>
      <c r="I9" s="12" t="s">
        <v>355</v>
      </c>
      <c r="J9" s="12" t="s">
        <v>356</v>
      </c>
      <c r="K9" s="37" t="s">
        <v>339</v>
      </c>
      <c r="L9" s="31" t="n">
        <f aca="false">IF(F9="","",IFERROR(INDEX(Reference_Data!$P$5:$P$14,MATCH(F9,Reference_Data!$O$5:$O$14,0)),0))</f>
        <v>10</v>
      </c>
      <c r="M9" s="37" t="s">
        <v>340</v>
      </c>
      <c r="N9" s="37" t="s">
        <v>332</v>
      </c>
      <c r="O9" s="38" t="n">
        <v>46205</v>
      </c>
      <c r="P9" s="37" t="s">
        <v>357</v>
      </c>
      <c r="Q9" s="31" t="n">
        <f aca="false">IF(AND(N9="Approved",L9&lt;&gt;""),L9,0)</f>
        <v>10</v>
      </c>
      <c r="R9" s="12"/>
    </row>
    <row r="10" customFormat="false" ht="23.85" hidden="false" customHeight="false" outlineLevel="0" collapsed="false">
      <c r="A10" s="37" t="s">
        <v>358</v>
      </c>
      <c r="B10" s="38" t="n">
        <v>46218</v>
      </c>
      <c r="C10" s="37" t="s">
        <v>359</v>
      </c>
      <c r="D10" s="31" t="str">
        <f aca="false">IF($C10="","",IFERROR(INDEX(Employee_Master!$B$5:$B$104,MATCH($C10,Employee_Master!$A$5:$A$104,0)),"ID not found"))</f>
        <v>Ivy Castillo</v>
      </c>
      <c r="E10" s="31" t="str">
        <f aca="false">IF($C10="","",IFERROR(INDEX(Employee_Master!$C$5:$C$104,MATCH($C10,Employee_Master!$A$5:$A$104,0)),"ID not found"))</f>
        <v>Project Management</v>
      </c>
      <c r="F10" s="37" t="s">
        <v>335</v>
      </c>
      <c r="G10" s="37" t="s">
        <v>344</v>
      </c>
      <c r="H10" s="31" t="str">
        <f aca="false">IF(OR(C10="",G10=""),"",IF(G10&lt;&gt;E10,"Yes","No"))</f>
        <v>Yes</v>
      </c>
      <c r="I10" s="12" t="s">
        <v>360</v>
      </c>
      <c r="J10" s="12" t="s">
        <v>361</v>
      </c>
      <c r="K10" s="37" t="s">
        <v>362</v>
      </c>
      <c r="L10" s="31" t="n">
        <f aca="false">IF(F10="","",IFERROR(INDEX(Reference_Data!$P$5:$P$14,MATCH(F10,Reference_Data!$O$5:$O$14,0)),0))</f>
        <v>15</v>
      </c>
      <c r="M10" s="37" t="s">
        <v>331</v>
      </c>
      <c r="N10" s="37" t="s">
        <v>363</v>
      </c>
      <c r="O10" s="38"/>
      <c r="P10" s="37"/>
      <c r="Q10" s="31" t="n">
        <f aca="false">IF(AND(N10="Approved",L10&lt;&gt;""),L10,0)</f>
        <v>0</v>
      </c>
      <c r="R10" s="12" t="s">
        <v>364</v>
      </c>
    </row>
    <row r="11" customFormat="false" ht="15" hidden="false" customHeight="false" outlineLevel="0" collapsed="false">
      <c r="A11" s="37" t="s">
        <v>365</v>
      </c>
      <c r="B11" s="38" t="n">
        <v>46244</v>
      </c>
      <c r="C11" s="37" t="s">
        <v>243</v>
      </c>
      <c r="D11" s="31" t="str">
        <f aca="false">IF($C11="","",IFERROR(INDEX(Employee_Master!$B$5:$B$104,MATCH($C11,Employee_Master!$A$5:$A$104,0)),"ID not found"))</f>
        <v>Andrea Villanueva</v>
      </c>
      <c r="E11" s="31" t="str">
        <f aca="false">IF($C11="","",IFERROR(INDEX(Employee_Master!$C$5:$C$104,MATCH($C11,Employee_Master!$A$5:$A$104,0)),"ID not found"))</f>
        <v>Design</v>
      </c>
      <c r="F11" s="37" t="s">
        <v>366</v>
      </c>
      <c r="G11" s="37" t="s">
        <v>344</v>
      </c>
      <c r="H11" s="31" t="str">
        <f aca="false">IF(OR(C11="",G11=""),"",IF(G11&lt;&gt;E11,"Yes","No"))</f>
        <v>No</v>
      </c>
      <c r="I11" s="12" t="s">
        <v>367</v>
      </c>
      <c r="J11" s="12" t="s">
        <v>368</v>
      </c>
      <c r="K11" s="37" t="s">
        <v>266</v>
      </c>
      <c r="L11" s="31" t="n">
        <f aca="false">IF(F11="","",IFERROR(INDEX(Reference_Data!$P$5:$P$14,MATCH(F11,Reference_Data!$O$5:$O$14,0)),0))</f>
        <v>20</v>
      </c>
      <c r="M11" s="37" t="s">
        <v>331</v>
      </c>
      <c r="N11" s="37" t="s">
        <v>332</v>
      </c>
      <c r="O11" s="38" t="n">
        <v>46248</v>
      </c>
      <c r="P11" s="37" t="s">
        <v>369</v>
      </c>
      <c r="Q11" s="31" t="n">
        <f aca="false">IF(AND(N11="Approved",L11&lt;&gt;""),L11,0)</f>
        <v>20</v>
      </c>
      <c r="R11" s="12"/>
    </row>
    <row r="12" customFormat="false" ht="23.85" hidden="false" customHeight="false" outlineLevel="0" collapsed="false">
      <c r="A12" s="37" t="s">
        <v>370</v>
      </c>
      <c r="B12" s="38" t="n">
        <v>46270</v>
      </c>
      <c r="C12" s="37" t="s">
        <v>261</v>
      </c>
      <c r="D12" s="31" t="str">
        <f aca="false">IF($C12="","",IFERROR(INDEX(Employee_Master!$B$5:$B$104,MATCH($C12,Employee_Master!$A$5:$A$104,0)),"ID not found"))</f>
        <v>Francis Aquino</v>
      </c>
      <c r="E12" s="31" t="str">
        <f aca="false">IF($C12="","",IFERROR(INDEX(Employee_Master!$C$5:$C$104,MATCH($C12,Employee_Master!$A$5:$A$104,0)),"ID not found"))</f>
        <v>Interconnection</v>
      </c>
      <c r="F12" s="37" t="s">
        <v>354</v>
      </c>
      <c r="G12" s="37" t="s">
        <v>371</v>
      </c>
      <c r="H12" s="31" t="str">
        <f aca="false">IF(OR(C12="",G12=""),"",IF(G12&lt;&gt;E12,"Yes","No"))</f>
        <v>No</v>
      </c>
      <c r="I12" s="12" t="s">
        <v>372</v>
      </c>
      <c r="J12" s="12" t="s">
        <v>373</v>
      </c>
      <c r="K12" s="37" t="s">
        <v>374</v>
      </c>
      <c r="L12" s="31" t="n">
        <f aca="false">IF(F12="","",IFERROR(INDEX(Reference_Data!$P$5:$P$14,MATCH(F12,Reference_Data!$O$5:$O$14,0)),0))</f>
        <v>10</v>
      </c>
      <c r="M12" s="37" t="s">
        <v>340</v>
      </c>
      <c r="N12" s="37" t="s">
        <v>375</v>
      </c>
      <c r="O12" s="38" t="n">
        <v>46275</v>
      </c>
      <c r="P12" s="37"/>
      <c r="Q12" s="31" t="n">
        <f aca="false">IF(AND(N12="Approved",L12&lt;&gt;""),L12,0)</f>
        <v>0</v>
      </c>
      <c r="R12" s="12" t="s">
        <v>376</v>
      </c>
    </row>
    <row r="13" customFormat="false" ht="23.85" hidden="false" customHeight="false" outlineLevel="0" collapsed="false">
      <c r="A13" s="37" t="s">
        <v>377</v>
      </c>
      <c r="B13" s="38" t="n">
        <v>46277</v>
      </c>
      <c r="C13" s="37" t="s">
        <v>250</v>
      </c>
      <c r="D13" s="31" t="str">
        <f aca="false">IF($C13="","",IFERROR(INDEX(Employee_Master!$B$5:$B$104,MATCH($C13,Employee_Master!$A$5:$A$104,0)),"ID not found"))</f>
        <v>Carlo Mendoza</v>
      </c>
      <c r="E13" s="31" t="str">
        <f aca="false">IF($C13="","",IFERROR(INDEX(Employee_Master!$C$5:$C$104,MATCH($C13,Employee_Master!$A$5:$A$104,0)),"ID not found"))</f>
        <v>Design</v>
      </c>
      <c r="F13" s="37" t="s">
        <v>335</v>
      </c>
      <c r="G13" s="37" t="s">
        <v>328</v>
      </c>
      <c r="H13" s="31" t="str">
        <f aca="false">IF(OR(C13="",G13=""),"",IF(G13&lt;&gt;E13,"Yes","No"))</f>
        <v>Yes</v>
      </c>
      <c r="I13" s="12" t="s">
        <v>378</v>
      </c>
      <c r="J13" s="12" t="s">
        <v>379</v>
      </c>
      <c r="K13" s="37" t="s">
        <v>380</v>
      </c>
      <c r="L13" s="31" t="n">
        <f aca="false">IF(F13="","",IFERROR(INDEX(Reference_Data!$P$5:$P$14,MATCH(F13,Reference_Data!$O$5:$O$14,0)),0))</f>
        <v>15</v>
      </c>
      <c r="M13" s="37" t="s">
        <v>331</v>
      </c>
      <c r="N13" s="37" t="s">
        <v>332</v>
      </c>
      <c r="O13" s="38" t="n">
        <v>46283</v>
      </c>
      <c r="P13" s="37" t="s">
        <v>333</v>
      </c>
      <c r="Q13" s="31" t="n">
        <f aca="false">IF(AND(N13="Approved",L13&lt;&gt;""),L13,0)</f>
        <v>15</v>
      </c>
      <c r="R13" s="12"/>
    </row>
    <row r="14" customFormat="false" ht="15" hidden="false" customHeight="false" outlineLevel="0" collapsed="false">
      <c r="A14" s="37"/>
      <c r="B14" s="38"/>
      <c r="C14" s="37"/>
      <c r="D14" s="31" t="str">
        <f aca="false">IF($C14="","",IFERROR(INDEX(Employee_Master!$B$5:$B$104,MATCH($C14,Employee_Master!$A$5:$A$104,0)),"ID not found"))</f>
        <v/>
      </c>
      <c r="E14" s="31" t="str">
        <f aca="false">IF($C14="","",IFERROR(INDEX(Employee_Master!$C$5:$C$104,MATCH($C14,Employee_Master!$A$5:$A$104,0)),"ID not found"))</f>
        <v/>
      </c>
      <c r="F14" s="37"/>
      <c r="G14" s="37"/>
      <c r="H14" s="31" t="str">
        <f aca="false">IF(OR(C14="",G14=""),"",IF(G14&lt;&gt;E14,"Yes","No"))</f>
        <v/>
      </c>
      <c r="I14" s="12"/>
      <c r="J14" s="12"/>
      <c r="K14" s="37"/>
      <c r="L14" s="31" t="str">
        <f aca="false">IF(F14="","",IFERROR(INDEX(Reference_Data!$P$5:$P$14,MATCH(F14,Reference_Data!$O$5:$O$14,0)),0))</f>
        <v/>
      </c>
      <c r="M14" s="37"/>
      <c r="N14" s="37"/>
      <c r="O14" s="38"/>
      <c r="P14" s="37"/>
      <c r="Q14" s="31" t="n">
        <f aca="false">IF(AND(N14="Approved",L14&lt;&gt;""),L14,0)</f>
        <v>0</v>
      </c>
      <c r="R14" s="12"/>
    </row>
    <row r="15" customFormat="false" ht="15" hidden="false" customHeight="false" outlineLevel="0" collapsed="false">
      <c r="A15" s="37"/>
      <c r="B15" s="38"/>
      <c r="C15" s="37"/>
      <c r="D15" s="31" t="str">
        <f aca="false">IF($C15="","",IFERROR(INDEX(Employee_Master!$B$5:$B$104,MATCH($C15,Employee_Master!$A$5:$A$104,0)),"ID not found"))</f>
        <v/>
      </c>
      <c r="E15" s="31" t="str">
        <f aca="false">IF($C15="","",IFERROR(INDEX(Employee_Master!$C$5:$C$104,MATCH($C15,Employee_Master!$A$5:$A$104,0)),"ID not found"))</f>
        <v/>
      </c>
      <c r="F15" s="37"/>
      <c r="G15" s="37"/>
      <c r="H15" s="31" t="str">
        <f aca="false">IF(OR(C15="",G15=""),"",IF(G15&lt;&gt;E15,"Yes","No"))</f>
        <v/>
      </c>
      <c r="I15" s="12"/>
      <c r="J15" s="12"/>
      <c r="K15" s="37"/>
      <c r="L15" s="31" t="str">
        <f aca="false">IF(F15="","",IFERROR(INDEX(Reference_Data!$P$5:$P$14,MATCH(F15,Reference_Data!$O$5:$O$14,0)),0))</f>
        <v/>
      </c>
      <c r="M15" s="37"/>
      <c r="N15" s="37"/>
      <c r="O15" s="38"/>
      <c r="P15" s="37"/>
      <c r="Q15" s="31" t="n">
        <f aca="false">IF(AND(N15="Approved",L15&lt;&gt;""),L15,0)</f>
        <v>0</v>
      </c>
      <c r="R15" s="12"/>
    </row>
    <row r="16" customFormat="false" ht="15" hidden="false" customHeight="false" outlineLevel="0" collapsed="false">
      <c r="A16" s="37"/>
      <c r="B16" s="38"/>
      <c r="C16" s="37"/>
      <c r="D16" s="31" t="str">
        <f aca="false">IF($C16="","",IFERROR(INDEX(Employee_Master!$B$5:$B$104,MATCH($C16,Employee_Master!$A$5:$A$104,0)),"ID not found"))</f>
        <v/>
      </c>
      <c r="E16" s="31" t="str">
        <f aca="false">IF($C16="","",IFERROR(INDEX(Employee_Master!$C$5:$C$104,MATCH($C16,Employee_Master!$A$5:$A$104,0)),"ID not found"))</f>
        <v/>
      </c>
      <c r="F16" s="37"/>
      <c r="G16" s="37"/>
      <c r="H16" s="31" t="str">
        <f aca="false">IF(OR(C16="",G16=""),"",IF(G16&lt;&gt;E16,"Yes","No"))</f>
        <v/>
      </c>
      <c r="I16" s="12"/>
      <c r="J16" s="12"/>
      <c r="K16" s="37"/>
      <c r="L16" s="31" t="str">
        <f aca="false">IF(F16="","",IFERROR(INDEX(Reference_Data!$P$5:$P$14,MATCH(F16,Reference_Data!$O$5:$O$14,0)),0))</f>
        <v/>
      </c>
      <c r="M16" s="37"/>
      <c r="N16" s="37"/>
      <c r="O16" s="38"/>
      <c r="P16" s="37"/>
      <c r="Q16" s="31" t="n">
        <f aca="false">IF(AND(N16="Approved",L16&lt;&gt;""),L16,0)</f>
        <v>0</v>
      </c>
      <c r="R16" s="12"/>
    </row>
    <row r="17" customFormat="false" ht="15" hidden="false" customHeight="false" outlineLevel="0" collapsed="false">
      <c r="A17" s="37"/>
      <c r="B17" s="38"/>
      <c r="C17" s="37"/>
      <c r="D17" s="31" t="str">
        <f aca="false">IF($C17="","",IFERROR(INDEX(Employee_Master!$B$5:$B$104,MATCH($C17,Employee_Master!$A$5:$A$104,0)),"ID not found"))</f>
        <v/>
      </c>
      <c r="E17" s="31" t="str">
        <f aca="false">IF($C17="","",IFERROR(INDEX(Employee_Master!$C$5:$C$104,MATCH($C17,Employee_Master!$A$5:$A$104,0)),"ID not found"))</f>
        <v/>
      </c>
      <c r="F17" s="37"/>
      <c r="G17" s="37"/>
      <c r="H17" s="31" t="str">
        <f aca="false">IF(OR(C17="",G17=""),"",IF(G17&lt;&gt;E17,"Yes","No"))</f>
        <v/>
      </c>
      <c r="I17" s="12"/>
      <c r="J17" s="12"/>
      <c r="K17" s="37"/>
      <c r="L17" s="31" t="str">
        <f aca="false">IF(F17="","",IFERROR(INDEX(Reference_Data!$P$5:$P$14,MATCH(F17,Reference_Data!$O$5:$O$14,0)),0))</f>
        <v/>
      </c>
      <c r="M17" s="37"/>
      <c r="N17" s="37"/>
      <c r="O17" s="38"/>
      <c r="P17" s="37"/>
      <c r="Q17" s="31" t="n">
        <f aca="false">IF(AND(N17="Approved",L17&lt;&gt;""),L17,0)</f>
        <v>0</v>
      </c>
      <c r="R17" s="12"/>
    </row>
    <row r="18" customFormat="false" ht="15" hidden="false" customHeight="false" outlineLevel="0" collapsed="false">
      <c r="A18" s="37"/>
      <c r="B18" s="38"/>
      <c r="C18" s="37"/>
      <c r="D18" s="31" t="str">
        <f aca="false">IF($C18="","",IFERROR(INDEX(Employee_Master!$B$5:$B$104,MATCH($C18,Employee_Master!$A$5:$A$104,0)),"ID not found"))</f>
        <v/>
      </c>
      <c r="E18" s="31" t="str">
        <f aca="false">IF($C18="","",IFERROR(INDEX(Employee_Master!$C$5:$C$104,MATCH($C18,Employee_Master!$A$5:$A$104,0)),"ID not found"))</f>
        <v/>
      </c>
      <c r="F18" s="37"/>
      <c r="G18" s="37"/>
      <c r="H18" s="31" t="str">
        <f aca="false">IF(OR(C18="",G18=""),"",IF(G18&lt;&gt;E18,"Yes","No"))</f>
        <v/>
      </c>
      <c r="I18" s="12"/>
      <c r="J18" s="12"/>
      <c r="K18" s="37"/>
      <c r="L18" s="31" t="str">
        <f aca="false">IF(F18="","",IFERROR(INDEX(Reference_Data!$P$5:$P$14,MATCH(F18,Reference_Data!$O$5:$O$14,0)),0))</f>
        <v/>
      </c>
      <c r="M18" s="37"/>
      <c r="N18" s="37"/>
      <c r="O18" s="38"/>
      <c r="P18" s="37"/>
      <c r="Q18" s="31" t="n">
        <f aca="false">IF(AND(N18="Approved",L18&lt;&gt;""),L18,0)</f>
        <v>0</v>
      </c>
      <c r="R18" s="12"/>
    </row>
    <row r="19" customFormat="false" ht="15" hidden="false" customHeight="false" outlineLevel="0" collapsed="false">
      <c r="A19" s="37"/>
      <c r="B19" s="38"/>
      <c r="C19" s="37"/>
      <c r="D19" s="31" t="str">
        <f aca="false">IF($C19="","",IFERROR(INDEX(Employee_Master!$B$5:$B$104,MATCH($C19,Employee_Master!$A$5:$A$104,0)),"ID not found"))</f>
        <v/>
      </c>
      <c r="E19" s="31" t="str">
        <f aca="false">IF($C19="","",IFERROR(INDEX(Employee_Master!$C$5:$C$104,MATCH($C19,Employee_Master!$A$5:$A$104,0)),"ID not found"))</f>
        <v/>
      </c>
      <c r="F19" s="37"/>
      <c r="G19" s="37"/>
      <c r="H19" s="31" t="str">
        <f aca="false">IF(OR(C19="",G19=""),"",IF(G19&lt;&gt;E19,"Yes","No"))</f>
        <v/>
      </c>
      <c r="I19" s="12"/>
      <c r="J19" s="12"/>
      <c r="K19" s="37"/>
      <c r="L19" s="31" t="str">
        <f aca="false">IF(F19="","",IFERROR(INDEX(Reference_Data!$P$5:$P$14,MATCH(F19,Reference_Data!$O$5:$O$14,0)),0))</f>
        <v/>
      </c>
      <c r="M19" s="37"/>
      <c r="N19" s="37"/>
      <c r="O19" s="38"/>
      <c r="P19" s="37"/>
      <c r="Q19" s="31" t="n">
        <f aca="false">IF(AND(N19="Approved",L19&lt;&gt;""),L19,0)</f>
        <v>0</v>
      </c>
      <c r="R19" s="12"/>
    </row>
    <row r="20" customFormat="false" ht="15" hidden="false" customHeight="false" outlineLevel="0" collapsed="false">
      <c r="A20" s="37"/>
      <c r="B20" s="38"/>
      <c r="C20" s="37"/>
      <c r="D20" s="31" t="str">
        <f aca="false">IF($C20="","",IFERROR(INDEX(Employee_Master!$B$5:$B$104,MATCH($C20,Employee_Master!$A$5:$A$104,0)),"ID not found"))</f>
        <v/>
      </c>
      <c r="E20" s="31" t="str">
        <f aca="false">IF($C20="","",IFERROR(INDEX(Employee_Master!$C$5:$C$104,MATCH($C20,Employee_Master!$A$5:$A$104,0)),"ID not found"))</f>
        <v/>
      </c>
      <c r="F20" s="37"/>
      <c r="G20" s="37"/>
      <c r="H20" s="31" t="str">
        <f aca="false">IF(OR(C20="",G20=""),"",IF(G20&lt;&gt;E20,"Yes","No"))</f>
        <v/>
      </c>
      <c r="I20" s="12"/>
      <c r="J20" s="12"/>
      <c r="K20" s="37"/>
      <c r="L20" s="31" t="str">
        <f aca="false">IF(F20="","",IFERROR(INDEX(Reference_Data!$P$5:$P$14,MATCH(F20,Reference_Data!$O$5:$O$14,0)),0))</f>
        <v/>
      </c>
      <c r="M20" s="37"/>
      <c r="N20" s="37"/>
      <c r="O20" s="38"/>
      <c r="P20" s="37"/>
      <c r="Q20" s="31" t="n">
        <f aca="false">IF(AND(N20="Approved",L20&lt;&gt;""),L20,0)</f>
        <v>0</v>
      </c>
      <c r="R20" s="12"/>
    </row>
    <row r="21" customFormat="false" ht="15" hidden="false" customHeight="false" outlineLevel="0" collapsed="false">
      <c r="A21" s="37"/>
      <c r="B21" s="38"/>
      <c r="C21" s="37"/>
      <c r="D21" s="31" t="str">
        <f aca="false">IF($C21="","",IFERROR(INDEX(Employee_Master!$B$5:$B$104,MATCH($C21,Employee_Master!$A$5:$A$104,0)),"ID not found"))</f>
        <v/>
      </c>
      <c r="E21" s="31" t="str">
        <f aca="false">IF($C21="","",IFERROR(INDEX(Employee_Master!$C$5:$C$104,MATCH($C21,Employee_Master!$A$5:$A$104,0)),"ID not found"))</f>
        <v/>
      </c>
      <c r="F21" s="37"/>
      <c r="G21" s="37"/>
      <c r="H21" s="31" t="str">
        <f aca="false">IF(OR(C21="",G21=""),"",IF(G21&lt;&gt;E21,"Yes","No"))</f>
        <v/>
      </c>
      <c r="I21" s="12"/>
      <c r="J21" s="12"/>
      <c r="K21" s="37"/>
      <c r="L21" s="31" t="str">
        <f aca="false">IF(F21="","",IFERROR(INDEX(Reference_Data!$P$5:$P$14,MATCH(F21,Reference_Data!$O$5:$O$14,0)),0))</f>
        <v/>
      </c>
      <c r="M21" s="37"/>
      <c r="N21" s="37"/>
      <c r="O21" s="38"/>
      <c r="P21" s="37"/>
      <c r="Q21" s="31" t="n">
        <f aca="false">IF(AND(N21="Approved",L21&lt;&gt;""),L21,0)</f>
        <v>0</v>
      </c>
      <c r="R21" s="12"/>
    </row>
    <row r="22" customFormat="false" ht="15" hidden="false" customHeight="false" outlineLevel="0" collapsed="false">
      <c r="A22" s="37"/>
      <c r="B22" s="38"/>
      <c r="C22" s="37"/>
      <c r="D22" s="31" t="str">
        <f aca="false">IF($C22="","",IFERROR(INDEX(Employee_Master!$B$5:$B$104,MATCH($C22,Employee_Master!$A$5:$A$104,0)),"ID not found"))</f>
        <v/>
      </c>
      <c r="E22" s="31" t="str">
        <f aca="false">IF($C22="","",IFERROR(INDEX(Employee_Master!$C$5:$C$104,MATCH($C22,Employee_Master!$A$5:$A$104,0)),"ID not found"))</f>
        <v/>
      </c>
      <c r="F22" s="37"/>
      <c r="G22" s="37"/>
      <c r="H22" s="31" t="str">
        <f aca="false">IF(OR(C22="",G22=""),"",IF(G22&lt;&gt;E22,"Yes","No"))</f>
        <v/>
      </c>
      <c r="I22" s="12"/>
      <c r="J22" s="12"/>
      <c r="K22" s="37"/>
      <c r="L22" s="31" t="str">
        <f aca="false">IF(F22="","",IFERROR(INDEX(Reference_Data!$P$5:$P$14,MATCH(F22,Reference_Data!$O$5:$O$14,0)),0))</f>
        <v/>
      </c>
      <c r="M22" s="37"/>
      <c r="N22" s="37"/>
      <c r="O22" s="38"/>
      <c r="P22" s="37"/>
      <c r="Q22" s="31" t="n">
        <f aca="false">IF(AND(N22="Approved",L22&lt;&gt;""),L22,0)</f>
        <v>0</v>
      </c>
      <c r="R22" s="12"/>
    </row>
    <row r="23" customFormat="false" ht="15" hidden="false" customHeight="false" outlineLevel="0" collapsed="false">
      <c r="A23" s="37"/>
      <c r="B23" s="38"/>
      <c r="C23" s="37"/>
      <c r="D23" s="31" t="str">
        <f aca="false">IF($C23="","",IFERROR(INDEX(Employee_Master!$B$5:$B$104,MATCH($C23,Employee_Master!$A$5:$A$104,0)),"ID not found"))</f>
        <v/>
      </c>
      <c r="E23" s="31" t="str">
        <f aca="false">IF($C23="","",IFERROR(INDEX(Employee_Master!$C$5:$C$104,MATCH($C23,Employee_Master!$A$5:$A$104,0)),"ID not found"))</f>
        <v/>
      </c>
      <c r="F23" s="37"/>
      <c r="G23" s="37"/>
      <c r="H23" s="31" t="str">
        <f aca="false">IF(OR(C23="",G23=""),"",IF(G23&lt;&gt;E23,"Yes","No"))</f>
        <v/>
      </c>
      <c r="I23" s="12"/>
      <c r="J23" s="12"/>
      <c r="K23" s="37"/>
      <c r="L23" s="31" t="str">
        <f aca="false">IF(F23="","",IFERROR(INDEX(Reference_Data!$P$5:$P$14,MATCH(F23,Reference_Data!$O$5:$O$14,0)),0))</f>
        <v/>
      </c>
      <c r="M23" s="37"/>
      <c r="N23" s="37"/>
      <c r="O23" s="38"/>
      <c r="P23" s="37"/>
      <c r="Q23" s="31" t="n">
        <f aca="false">IF(AND(N23="Approved",L23&lt;&gt;""),L23,0)</f>
        <v>0</v>
      </c>
      <c r="R23" s="12"/>
    </row>
    <row r="24" customFormat="false" ht="15" hidden="false" customHeight="false" outlineLevel="0" collapsed="false">
      <c r="A24" s="37"/>
      <c r="B24" s="38"/>
      <c r="C24" s="37"/>
      <c r="D24" s="31" t="str">
        <f aca="false">IF($C24="","",IFERROR(INDEX(Employee_Master!$B$5:$B$104,MATCH($C24,Employee_Master!$A$5:$A$104,0)),"ID not found"))</f>
        <v/>
      </c>
      <c r="E24" s="31" t="str">
        <f aca="false">IF($C24="","",IFERROR(INDEX(Employee_Master!$C$5:$C$104,MATCH($C24,Employee_Master!$A$5:$A$104,0)),"ID not found"))</f>
        <v/>
      </c>
      <c r="F24" s="37"/>
      <c r="G24" s="37"/>
      <c r="H24" s="31" t="str">
        <f aca="false">IF(OR(C24="",G24=""),"",IF(G24&lt;&gt;E24,"Yes","No"))</f>
        <v/>
      </c>
      <c r="I24" s="12"/>
      <c r="J24" s="12"/>
      <c r="K24" s="37"/>
      <c r="L24" s="31" t="str">
        <f aca="false">IF(F24="","",IFERROR(INDEX(Reference_Data!$P$5:$P$14,MATCH(F24,Reference_Data!$O$5:$O$14,0)),0))</f>
        <v/>
      </c>
      <c r="M24" s="37"/>
      <c r="N24" s="37"/>
      <c r="O24" s="38"/>
      <c r="P24" s="37"/>
      <c r="Q24" s="31" t="n">
        <f aca="false">IF(AND(N24="Approved",L24&lt;&gt;""),L24,0)</f>
        <v>0</v>
      </c>
      <c r="R24" s="12"/>
    </row>
    <row r="25" customFormat="false" ht="15" hidden="false" customHeight="false" outlineLevel="0" collapsed="false">
      <c r="A25" s="37"/>
      <c r="B25" s="38"/>
      <c r="C25" s="37"/>
      <c r="D25" s="31" t="str">
        <f aca="false">IF($C25="","",IFERROR(INDEX(Employee_Master!$B$5:$B$104,MATCH($C25,Employee_Master!$A$5:$A$104,0)),"ID not found"))</f>
        <v/>
      </c>
      <c r="E25" s="31" t="str">
        <f aca="false">IF($C25="","",IFERROR(INDEX(Employee_Master!$C$5:$C$104,MATCH($C25,Employee_Master!$A$5:$A$104,0)),"ID not found"))</f>
        <v/>
      </c>
      <c r="F25" s="37"/>
      <c r="G25" s="37"/>
      <c r="H25" s="31" t="str">
        <f aca="false">IF(OR(C25="",G25=""),"",IF(G25&lt;&gt;E25,"Yes","No"))</f>
        <v/>
      </c>
      <c r="I25" s="12"/>
      <c r="J25" s="12"/>
      <c r="K25" s="37"/>
      <c r="L25" s="31" t="str">
        <f aca="false">IF(F25="","",IFERROR(INDEX(Reference_Data!$P$5:$P$14,MATCH(F25,Reference_Data!$O$5:$O$14,0)),0))</f>
        <v/>
      </c>
      <c r="M25" s="37"/>
      <c r="N25" s="37"/>
      <c r="O25" s="38"/>
      <c r="P25" s="37"/>
      <c r="Q25" s="31" t="n">
        <f aca="false">IF(AND(N25="Approved",L25&lt;&gt;""),L25,0)</f>
        <v>0</v>
      </c>
      <c r="R25" s="12"/>
    </row>
    <row r="26" customFormat="false" ht="15" hidden="false" customHeight="false" outlineLevel="0" collapsed="false">
      <c r="A26" s="37"/>
      <c r="B26" s="38"/>
      <c r="C26" s="37"/>
      <c r="D26" s="31" t="str">
        <f aca="false">IF($C26="","",IFERROR(INDEX(Employee_Master!$B$5:$B$104,MATCH($C26,Employee_Master!$A$5:$A$104,0)),"ID not found"))</f>
        <v/>
      </c>
      <c r="E26" s="31" t="str">
        <f aca="false">IF($C26="","",IFERROR(INDEX(Employee_Master!$C$5:$C$104,MATCH($C26,Employee_Master!$A$5:$A$104,0)),"ID not found"))</f>
        <v/>
      </c>
      <c r="F26" s="37"/>
      <c r="G26" s="37"/>
      <c r="H26" s="31" t="str">
        <f aca="false">IF(OR(C26="",G26=""),"",IF(G26&lt;&gt;E26,"Yes","No"))</f>
        <v/>
      </c>
      <c r="I26" s="12"/>
      <c r="J26" s="12"/>
      <c r="K26" s="37"/>
      <c r="L26" s="31" t="str">
        <f aca="false">IF(F26="","",IFERROR(INDEX(Reference_Data!$P$5:$P$14,MATCH(F26,Reference_Data!$O$5:$O$14,0)),0))</f>
        <v/>
      </c>
      <c r="M26" s="37"/>
      <c r="N26" s="37"/>
      <c r="O26" s="38"/>
      <c r="P26" s="37"/>
      <c r="Q26" s="31" t="n">
        <f aca="false">IF(AND(N26="Approved",L26&lt;&gt;""),L26,0)</f>
        <v>0</v>
      </c>
      <c r="R26" s="12"/>
    </row>
    <row r="27" customFormat="false" ht="15" hidden="false" customHeight="false" outlineLevel="0" collapsed="false">
      <c r="A27" s="37"/>
      <c r="B27" s="38"/>
      <c r="C27" s="37"/>
      <c r="D27" s="31" t="str">
        <f aca="false">IF($C27="","",IFERROR(INDEX(Employee_Master!$B$5:$B$104,MATCH($C27,Employee_Master!$A$5:$A$104,0)),"ID not found"))</f>
        <v/>
      </c>
      <c r="E27" s="31" t="str">
        <f aca="false">IF($C27="","",IFERROR(INDEX(Employee_Master!$C$5:$C$104,MATCH($C27,Employee_Master!$A$5:$A$104,0)),"ID not found"))</f>
        <v/>
      </c>
      <c r="F27" s="37"/>
      <c r="G27" s="37"/>
      <c r="H27" s="31" t="str">
        <f aca="false">IF(OR(C27="",G27=""),"",IF(G27&lt;&gt;E27,"Yes","No"))</f>
        <v/>
      </c>
      <c r="I27" s="12"/>
      <c r="J27" s="12"/>
      <c r="K27" s="37"/>
      <c r="L27" s="31" t="str">
        <f aca="false">IF(F27="","",IFERROR(INDEX(Reference_Data!$P$5:$P$14,MATCH(F27,Reference_Data!$O$5:$O$14,0)),0))</f>
        <v/>
      </c>
      <c r="M27" s="37"/>
      <c r="N27" s="37"/>
      <c r="O27" s="38"/>
      <c r="P27" s="37"/>
      <c r="Q27" s="31" t="n">
        <f aca="false">IF(AND(N27="Approved",L27&lt;&gt;""),L27,0)</f>
        <v>0</v>
      </c>
      <c r="R27" s="12"/>
    </row>
    <row r="28" customFormat="false" ht="15" hidden="false" customHeight="false" outlineLevel="0" collapsed="false">
      <c r="A28" s="37"/>
      <c r="B28" s="38"/>
      <c r="C28" s="37"/>
      <c r="D28" s="31" t="str">
        <f aca="false">IF($C28="","",IFERROR(INDEX(Employee_Master!$B$5:$B$104,MATCH($C28,Employee_Master!$A$5:$A$104,0)),"ID not found"))</f>
        <v/>
      </c>
      <c r="E28" s="31" t="str">
        <f aca="false">IF($C28="","",IFERROR(INDEX(Employee_Master!$C$5:$C$104,MATCH($C28,Employee_Master!$A$5:$A$104,0)),"ID not found"))</f>
        <v/>
      </c>
      <c r="F28" s="37"/>
      <c r="G28" s="37"/>
      <c r="H28" s="31" t="str">
        <f aca="false">IF(OR(C28="",G28=""),"",IF(G28&lt;&gt;E28,"Yes","No"))</f>
        <v/>
      </c>
      <c r="I28" s="12"/>
      <c r="J28" s="12"/>
      <c r="K28" s="37"/>
      <c r="L28" s="31" t="str">
        <f aca="false">IF(F28="","",IFERROR(INDEX(Reference_Data!$P$5:$P$14,MATCH(F28,Reference_Data!$O$5:$O$14,0)),0))</f>
        <v/>
      </c>
      <c r="M28" s="37"/>
      <c r="N28" s="37"/>
      <c r="O28" s="38"/>
      <c r="P28" s="37"/>
      <c r="Q28" s="31" t="n">
        <f aca="false">IF(AND(N28="Approved",L28&lt;&gt;""),L28,0)</f>
        <v>0</v>
      </c>
      <c r="R28" s="12"/>
    </row>
    <row r="29" customFormat="false" ht="15" hidden="false" customHeight="false" outlineLevel="0" collapsed="false">
      <c r="A29" s="37"/>
      <c r="B29" s="38"/>
      <c r="C29" s="37"/>
      <c r="D29" s="31" t="str">
        <f aca="false">IF($C29="","",IFERROR(INDEX(Employee_Master!$B$5:$B$104,MATCH($C29,Employee_Master!$A$5:$A$104,0)),"ID not found"))</f>
        <v/>
      </c>
      <c r="E29" s="31" t="str">
        <f aca="false">IF($C29="","",IFERROR(INDEX(Employee_Master!$C$5:$C$104,MATCH($C29,Employee_Master!$A$5:$A$104,0)),"ID not found"))</f>
        <v/>
      </c>
      <c r="F29" s="37"/>
      <c r="G29" s="37"/>
      <c r="H29" s="31" t="str">
        <f aca="false">IF(OR(C29="",G29=""),"",IF(G29&lt;&gt;E29,"Yes","No"))</f>
        <v/>
      </c>
      <c r="I29" s="12"/>
      <c r="J29" s="12"/>
      <c r="K29" s="37"/>
      <c r="L29" s="31" t="str">
        <f aca="false">IF(F29="","",IFERROR(INDEX(Reference_Data!$P$5:$P$14,MATCH(F29,Reference_Data!$O$5:$O$14,0)),0))</f>
        <v/>
      </c>
      <c r="M29" s="37"/>
      <c r="N29" s="37"/>
      <c r="O29" s="38"/>
      <c r="P29" s="37"/>
      <c r="Q29" s="31" t="n">
        <f aca="false">IF(AND(N29="Approved",L29&lt;&gt;""),L29,0)</f>
        <v>0</v>
      </c>
      <c r="R29" s="12"/>
    </row>
    <row r="30" customFormat="false" ht="15" hidden="false" customHeight="false" outlineLevel="0" collapsed="false">
      <c r="A30" s="37"/>
      <c r="B30" s="38"/>
      <c r="C30" s="37"/>
      <c r="D30" s="31" t="str">
        <f aca="false">IF($C30="","",IFERROR(INDEX(Employee_Master!$B$5:$B$104,MATCH($C30,Employee_Master!$A$5:$A$104,0)),"ID not found"))</f>
        <v/>
      </c>
      <c r="E30" s="31" t="str">
        <f aca="false">IF($C30="","",IFERROR(INDEX(Employee_Master!$C$5:$C$104,MATCH($C30,Employee_Master!$A$5:$A$104,0)),"ID not found"))</f>
        <v/>
      </c>
      <c r="F30" s="37"/>
      <c r="G30" s="37"/>
      <c r="H30" s="31" t="str">
        <f aca="false">IF(OR(C30="",G30=""),"",IF(G30&lt;&gt;E30,"Yes","No"))</f>
        <v/>
      </c>
      <c r="I30" s="12"/>
      <c r="J30" s="12"/>
      <c r="K30" s="37"/>
      <c r="L30" s="31" t="str">
        <f aca="false">IF(F30="","",IFERROR(INDEX(Reference_Data!$P$5:$P$14,MATCH(F30,Reference_Data!$O$5:$O$14,0)),0))</f>
        <v/>
      </c>
      <c r="M30" s="37"/>
      <c r="N30" s="37"/>
      <c r="O30" s="38"/>
      <c r="P30" s="37"/>
      <c r="Q30" s="31" t="n">
        <f aca="false">IF(AND(N30="Approved",L30&lt;&gt;""),L30,0)</f>
        <v>0</v>
      </c>
      <c r="R30" s="12"/>
    </row>
    <row r="31" customFormat="false" ht="15" hidden="false" customHeight="false" outlineLevel="0" collapsed="false">
      <c r="A31" s="37"/>
      <c r="B31" s="38"/>
      <c r="C31" s="37"/>
      <c r="D31" s="31" t="str">
        <f aca="false">IF($C31="","",IFERROR(INDEX(Employee_Master!$B$5:$B$104,MATCH($C31,Employee_Master!$A$5:$A$104,0)),"ID not found"))</f>
        <v/>
      </c>
      <c r="E31" s="31" t="str">
        <f aca="false">IF($C31="","",IFERROR(INDEX(Employee_Master!$C$5:$C$104,MATCH($C31,Employee_Master!$A$5:$A$104,0)),"ID not found"))</f>
        <v/>
      </c>
      <c r="F31" s="37"/>
      <c r="G31" s="37"/>
      <c r="H31" s="31" t="str">
        <f aca="false">IF(OR(C31="",G31=""),"",IF(G31&lt;&gt;E31,"Yes","No"))</f>
        <v/>
      </c>
      <c r="I31" s="12"/>
      <c r="J31" s="12"/>
      <c r="K31" s="37"/>
      <c r="L31" s="31" t="str">
        <f aca="false">IF(F31="","",IFERROR(INDEX(Reference_Data!$P$5:$P$14,MATCH(F31,Reference_Data!$O$5:$O$14,0)),0))</f>
        <v/>
      </c>
      <c r="M31" s="37"/>
      <c r="N31" s="37"/>
      <c r="O31" s="38"/>
      <c r="P31" s="37"/>
      <c r="Q31" s="31" t="n">
        <f aca="false">IF(AND(N31="Approved",L31&lt;&gt;""),L31,0)</f>
        <v>0</v>
      </c>
      <c r="R31" s="12"/>
    </row>
    <row r="32" customFormat="false" ht="15" hidden="false" customHeight="false" outlineLevel="0" collapsed="false">
      <c r="A32" s="37"/>
      <c r="B32" s="38"/>
      <c r="C32" s="37"/>
      <c r="D32" s="31" t="str">
        <f aca="false">IF($C32="","",IFERROR(INDEX(Employee_Master!$B$5:$B$104,MATCH($C32,Employee_Master!$A$5:$A$104,0)),"ID not found"))</f>
        <v/>
      </c>
      <c r="E32" s="31" t="str">
        <f aca="false">IF($C32="","",IFERROR(INDEX(Employee_Master!$C$5:$C$104,MATCH($C32,Employee_Master!$A$5:$A$104,0)),"ID not found"))</f>
        <v/>
      </c>
      <c r="F32" s="37"/>
      <c r="G32" s="37"/>
      <c r="H32" s="31" t="str">
        <f aca="false">IF(OR(C32="",G32=""),"",IF(G32&lt;&gt;E32,"Yes","No"))</f>
        <v/>
      </c>
      <c r="I32" s="12"/>
      <c r="J32" s="12"/>
      <c r="K32" s="37"/>
      <c r="L32" s="31" t="str">
        <f aca="false">IF(F32="","",IFERROR(INDEX(Reference_Data!$P$5:$P$14,MATCH(F32,Reference_Data!$O$5:$O$14,0)),0))</f>
        <v/>
      </c>
      <c r="M32" s="37"/>
      <c r="N32" s="37"/>
      <c r="O32" s="38"/>
      <c r="P32" s="37"/>
      <c r="Q32" s="31" t="n">
        <f aca="false">IF(AND(N32="Approved",L32&lt;&gt;""),L32,0)</f>
        <v>0</v>
      </c>
      <c r="R32" s="12"/>
    </row>
    <row r="33" customFormat="false" ht="15" hidden="false" customHeight="false" outlineLevel="0" collapsed="false">
      <c r="A33" s="37"/>
      <c r="B33" s="38"/>
      <c r="C33" s="37"/>
      <c r="D33" s="31" t="str">
        <f aca="false">IF($C33="","",IFERROR(INDEX(Employee_Master!$B$5:$B$104,MATCH($C33,Employee_Master!$A$5:$A$104,0)),"ID not found"))</f>
        <v/>
      </c>
      <c r="E33" s="31" t="str">
        <f aca="false">IF($C33="","",IFERROR(INDEX(Employee_Master!$C$5:$C$104,MATCH($C33,Employee_Master!$A$5:$A$104,0)),"ID not found"))</f>
        <v/>
      </c>
      <c r="F33" s="37"/>
      <c r="G33" s="37"/>
      <c r="H33" s="31" t="str">
        <f aca="false">IF(OR(C33="",G33=""),"",IF(G33&lt;&gt;E33,"Yes","No"))</f>
        <v/>
      </c>
      <c r="I33" s="12"/>
      <c r="J33" s="12"/>
      <c r="K33" s="37"/>
      <c r="L33" s="31" t="str">
        <f aca="false">IF(F33="","",IFERROR(INDEX(Reference_Data!$P$5:$P$14,MATCH(F33,Reference_Data!$O$5:$O$14,0)),0))</f>
        <v/>
      </c>
      <c r="M33" s="37"/>
      <c r="N33" s="37"/>
      <c r="O33" s="38"/>
      <c r="P33" s="37"/>
      <c r="Q33" s="31" t="n">
        <f aca="false">IF(AND(N33="Approved",L33&lt;&gt;""),L33,0)</f>
        <v>0</v>
      </c>
      <c r="R33" s="12"/>
    </row>
    <row r="34" customFormat="false" ht="15" hidden="false" customHeight="false" outlineLevel="0" collapsed="false">
      <c r="A34" s="37"/>
      <c r="B34" s="38"/>
      <c r="C34" s="37"/>
      <c r="D34" s="31" t="str">
        <f aca="false">IF($C34="","",IFERROR(INDEX(Employee_Master!$B$5:$B$104,MATCH($C34,Employee_Master!$A$5:$A$104,0)),"ID not found"))</f>
        <v/>
      </c>
      <c r="E34" s="31" t="str">
        <f aca="false">IF($C34="","",IFERROR(INDEX(Employee_Master!$C$5:$C$104,MATCH($C34,Employee_Master!$A$5:$A$104,0)),"ID not found"))</f>
        <v/>
      </c>
      <c r="F34" s="37"/>
      <c r="G34" s="37"/>
      <c r="H34" s="31" t="str">
        <f aca="false">IF(OR(C34="",G34=""),"",IF(G34&lt;&gt;E34,"Yes","No"))</f>
        <v/>
      </c>
      <c r="I34" s="12"/>
      <c r="J34" s="12"/>
      <c r="K34" s="37"/>
      <c r="L34" s="31" t="str">
        <f aca="false">IF(F34="","",IFERROR(INDEX(Reference_Data!$P$5:$P$14,MATCH(F34,Reference_Data!$O$5:$O$14,0)),0))</f>
        <v/>
      </c>
      <c r="M34" s="37"/>
      <c r="N34" s="37"/>
      <c r="O34" s="38"/>
      <c r="P34" s="37"/>
      <c r="Q34" s="31" t="n">
        <f aca="false">IF(AND(N34="Approved",L34&lt;&gt;""),L34,0)</f>
        <v>0</v>
      </c>
      <c r="R34" s="12"/>
    </row>
    <row r="35" customFormat="false" ht="15" hidden="false" customHeight="false" outlineLevel="0" collapsed="false">
      <c r="A35" s="37"/>
      <c r="B35" s="38"/>
      <c r="C35" s="37"/>
      <c r="D35" s="31" t="str">
        <f aca="false">IF($C35="","",IFERROR(INDEX(Employee_Master!$B$5:$B$104,MATCH($C35,Employee_Master!$A$5:$A$104,0)),"ID not found"))</f>
        <v/>
      </c>
      <c r="E35" s="31" t="str">
        <f aca="false">IF($C35="","",IFERROR(INDEX(Employee_Master!$C$5:$C$104,MATCH($C35,Employee_Master!$A$5:$A$104,0)),"ID not found"))</f>
        <v/>
      </c>
      <c r="F35" s="37"/>
      <c r="G35" s="37"/>
      <c r="H35" s="31" t="str">
        <f aca="false">IF(OR(C35="",G35=""),"",IF(G35&lt;&gt;E35,"Yes","No"))</f>
        <v/>
      </c>
      <c r="I35" s="12"/>
      <c r="J35" s="12"/>
      <c r="K35" s="37"/>
      <c r="L35" s="31" t="str">
        <f aca="false">IF(F35="","",IFERROR(INDEX(Reference_Data!$P$5:$P$14,MATCH(F35,Reference_Data!$O$5:$O$14,0)),0))</f>
        <v/>
      </c>
      <c r="M35" s="37"/>
      <c r="N35" s="37"/>
      <c r="O35" s="38"/>
      <c r="P35" s="37"/>
      <c r="Q35" s="31" t="n">
        <f aca="false">IF(AND(N35="Approved",L35&lt;&gt;""),L35,0)</f>
        <v>0</v>
      </c>
      <c r="R35" s="12"/>
    </row>
    <row r="36" customFormat="false" ht="15" hidden="false" customHeight="false" outlineLevel="0" collapsed="false">
      <c r="A36" s="37"/>
      <c r="B36" s="38"/>
      <c r="C36" s="37"/>
      <c r="D36" s="31" t="str">
        <f aca="false">IF($C36="","",IFERROR(INDEX(Employee_Master!$B$5:$B$104,MATCH($C36,Employee_Master!$A$5:$A$104,0)),"ID not found"))</f>
        <v/>
      </c>
      <c r="E36" s="31" t="str">
        <f aca="false">IF($C36="","",IFERROR(INDEX(Employee_Master!$C$5:$C$104,MATCH($C36,Employee_Master!$A$5:$A$104,0)),"ID not found"))</f>
        <v/>
      </c>
      <c r="F36" s="37"/>
      <c r="G36" s="37"/>
      <c r="H36" s="31" t="str">
        <f aca="false">IF(OR(C36="",G36=""),"",IF(G36&lt;&gt;E36,"Yes","No"))</f>
        <v/>
      </c>
      <c r="I36" s="12"/>
      <c r="J36" s="12"/>
      <c r="K36" s="37"/>
      <c r="L36" s="31" t="str">
        <f aca="false">IF(F36="","",IFERROR(INDEX(Reference_Data!$P$5:$P$14,MATCH(F36,Reference_Data!$O$5:$O$14,0)),0))</f>
        <v/>
      </c>
      <c r="M36" s="37"/>
      <c r="N36" s="37"/>
      <c r="O36" s="38"/>
      <c r="P36" s="37"/>
      <c r="Q36" s="31" t="n">
        <f aca="false">IF(AND(N36="Approved",L36&lt;&gt;""),L36,0)</f>
        <v>0</v>
      </c>
      <c r="R36" s="12"/>
    </row>
    <row r="37" customFormat="false" ht="15" hidden="false" customHeight="false" outlineLevel="0" collapsed="false">
      <c r="A37" s="37"/>
      <c r="B37" s="38"/>
      <c r="C37" s="37"/>
      <c r="D37" s="31" t="str">
        <f aca="false">IF($C37="","",IFERROR(INDEX(Employee_Master!$B$5:$B$104,MATCH($C37,Employee_Master!$A$5:$A$104,0)),"ID not found"))</f>
        <v/>
      </c>
      <c r="E37" s="31" t="str">
        <f aca="false">IF($C37="","",IFERROR(INDEX(Employee_Master!$C$5:$C$104,MATCH($C37,Employee_Master!$A$5:$A$104,0)),"ID not found"))</f>
        <v/>
      </c>
      <c r="F37" s="37"/>
      <c r="G37" s="37"/>
      <c r="H37" s="31" t="str">
        <f aca="false">IF(OR(C37="",G37=""),"",IF(G37&lt;&gt;E37,"Yes","No"))</f>
        <v/>
      </c>
      <c r="I37" s="12"/>
      <c r="J37" s="12"/>
      <c r="K37" s="37"/>
      <c r="L37" s="31" t="str">
        <f aca="false">IF(F37="","",IFERROR(INDEX(Reference_Data!$P$5:$P$14,MATCH(F37,Reference_Data!$O$5:$O$14,0)),0))</f>
        <v/>
      </c>
      <c r="M37" s="37"/>
      <c r="N37" s="37"/>
      <c r="O37" s="38"/>
      <c r="P37" s="37"/>
      <c r="Q37" s="31" t="n">
        <f aca="false">IF(AND(N37="Approved",L37&lt;&gt;""),L37,0)</f>
        <v>0</v>
      </c>
      <c r="R37" s="12"/>
    </row>
    <row r="38" customFormat="false" ht="15" hidden="false" customHeight="false" outlineLevel="0" collapsed="false">
      <c r="A38" s="37"/>
      <c r="B38" s="38"/>
      <c r="C38" s="37"/>
      <c r="D38" s="31" t="str">
        <f aca="false">IF($C38="","",IFERROR(INDEX(Employee_Master!$B$5:$B$104,MATCH($C38,Employee_Master!$A$5:$A$104,0)),"ID not found"))</f>
        <v/>
      </c>
      <c r="E38" s="31" t="str">
        <f aca="false">IF($C38="","",IFERROR(INDEX(Employee_Master!$C$5:$C$104,MATCH($C38,Employee_Master!$A$5:$A$104,0)),"ID not found"))</f>
        <v/>
      </c>
      <c r="F38" s="37"/>
      <c r="G38" s="37"/>
      <c r="H38" s="31" t="str">
        <f aca="false">IF(OR(C38="",G38=""),"",IF(G38&lt;&gt;E38,"Yes","No"))</f>
        <v/>
      </c>
      <c r="I38" s="12"/>
      <c r="J38" s="12"/>
      <c r="K38" s="37"/>
      <c r="L38" s="31" t="str">
        <f aca="false">IF(F38="","",IFERROR(INDEX(Reference_Data!$P$5:$P$14,MATCH(F38,Reference_Data!$O$5:$O$14,0)),0))</f>
        <v/>
      </c>
      <c r="M38" s="37"/>
      <c r="N38" s="37"/>
      <c r="O38" s="38"/>
      <c r="P38" s="37"/>
      <c r="Q38" s="31" t="n">
        <f aca="false">IF(AND(N38="Approved",L38&lt;&gt;""),L38,0)</f>
        <v>0</v>
      </c>
      <c r="R38" s="12"/>
    </row>
    <row r="39" customFormat="false" ht="15" hidden="false" customHeight="false" outlineLevel="0" collapsed="false">
      <c r="A39" s="37"/>
      <c r="B39" s="38"/>
      <c r="C39" s="37"/>
      <c r="D39" s="31" t="str">
        <f aca="false">IF($C39="","",IFERROR(INDEX(Employee_Master!$B$5:$B$104,MATCH($C39,Employee_Master!$A$5:$A$104,0)),"ID not found"))</f>
        <v/>
      </c>
      <c r="E39" s="31" t="str">
        <f aca="false">IF($C39="","",IFERROR(INDEX(Employee_Master!$C$5:$C$104,MATCH($C39,Employee_Master!$A$5:$A$104,0)),"ID not found"))</f>
        <v/>
      </c>
      <c r="F39" s="37"/>
      <c r="G39" s="37"/>
      <c r="H39" s="31" t="str">
        <f aca="false">IF(OR(C39="",G39=""),"",IF(G39&lt;&gt;E39,"Yes","No"))</f>
        <v/>
      </c>
      <c r="I39" s="12"/>
      <c r="J39" s="12"/>
      <c r="K39" s="37"/>
      <c r="L39" s="31" t="str">
        <f aca="false">IF(F39="","",IFERROR(INDEX(Reference_Data!$P$5:$P$14,MATCH(F39,Reference_Data!$O$5:$O$14,0)),0))</f>
        <v/>
      </c>
      <c r="M39" s="37"/>
      <c r="N39" s="37"/>
      <c r="O39" s="38"/>
      <c r="P39" s="37"/>
      <c r="Q39" s="31" t="n">
        <f aca="false">IF(AND(N39="Approved",L39&lt;&gt;""),L39,0)</f>
        <v>0</v>
      </c>
      <c r="R39" s="12"/>
    </row>
    <row r="40" customFormat="false" ht="15" hidden="false" customHeight="false" outlineLevel="0" collapsed="false">
      <c r="A40" s="37"/>
      <c r="B40" s="38"/>
      <c r="C40" s="37"/>
      <c r="D40" s="31" t="str">
        <f aca="false">IF($C40="","",IFERROR(INDEX(Employee_Master!$B$5:$B$104,MATCH($C40,Employee_Master!$A$5:$A$104,0)),"ID not found"))</f>
        <v/>
      </c>
      <c r="E40" s="31" t="str">
        <f aca="false">IF($C40="","",IFERROR(INDEX(Employee_Master!$C$5:$C$104,MATCH($C40,Employee_Master!$A$5:$A$104,0)),"ID not found"))</f>
        <v/>
      </c>
      <c r="F40" s="37"/>
      <c r="G40" s="37"/>
      <c r="H40" s="31" t="str">
        <f aca="false">IF(OR(C40="",G40=""),"",IF(G40&lt;&gt;E40,"Yes","No"))</f>
        <v/>
      </c>
      <c r="I40" s="12"/>
      <c r="J40" s="12"/>
      <c r="K40" s="37"/>
      <c r="L40" s="31" t="str">
        <f aca="false">IF(F40="","",IFERROR(INDEX(Reference_Data!$P$5:$P$14,MATCH(F40,Reference_Data!$O$5:$O$14,0)),0))</f>
        <v/>
      </c>
      <c r="M40" s="37"/>
      <c r="N40" s="37"/>
      <c r="O40" s="38"/>
      <c r="P40" s="37"/>
      <c r="Q40" s="31" t="n">
        <f aca="false">IF(AND(N40="Approved",L40&lt;&gt;""),L40,0)</f>
        <v>0</v>
      </c>
      <c r="R40" s="12"/>
    </row>
    <row r="41" customFormat="false" ht="15" hidden="false" customHeight="false" outlineLevel="0" collapsed="false">
      <c r="A41" s="37"/>
      <c r="B41" s="38"/>
      <c r="C41" s="37"/>
      <c r="D41" s="31" t="str">
        <f aca="false">IF($C41="","",IFERROR(INDEX(Employee_Master!$B$5:$B$104,MATCH($C41,Employee_Master!$A$5:$A$104,0)),"ID not found"))</f>
        <v/>
      </c>
      <c r="E41" s="31" t="str">
        <f aca="false">IF($C41="","",IFERROR(INDEX(Employee_Master!$C$5:$C$104,MATCH($C41,Employee_Master!$A$5:$A$104,0)),"ID not found"))</f>
        <v/>
      </c>
      <c r="F41" s="37"/>
      <c r="G41" s="37"/>
      <c r="H41" s="31" t="str">
        <f aca="false">IF(OR(C41="",G41=""),"",IF(G41&lt;&gt;E41,"Yes","No"))</f>
        <v/>
      </c>
      <c r="I41" s="12"/>
      <c r="J41" s="12"/>
      <c r="K41" s="37"/>
      <c r="L41" s="31" t="str">
        <f aca="false">IF(F41="","",IFERROR(INDEX(Reference_Data!$P$5:$P$14,MATCH(F41,Reference_Data!$O$5:$O$14,0)),0))</f>
        <v/>
      </c>
      <c r="M41" s="37"/>
      <c r="N41" s="37"/>
      <c r="O41" s="38"/>
      <c r="P41" s="37"/>
      <c r="Q41" s="31" t="n">
        <f aca="false">IF(AND(N41="Approved",L41&lt;&gt;""),L41,0)</f>
        <v>0</v>
      </c>
      <c r="R41" s="12"/>
    </row>
    <row r="42" customFormat="false" ht="15" hidden="false" customHeight="false" outlineLevel="0" collapsed="false">
      <c r="A42" s="37"/>
      <c r="B42" s="38"/>
      <c r="C42" s="37"/>
      <c r="D42" s="31" t="str">
        <f aca="false">IF($C42="","",IFERROR(INDEX(Employee_Master!$B$5:$B$104,MATCH($C42,Employee_Master!$A$5:$A$104,0)),"ID not found"))</f>
        <v/>
      </c>
      <c r="E42" s="31" t="str">
        <f aca="false">IF($C42="","",IFERROR(INDEX(Employee_Master!$C$5:$C$104,MATCH($C42,Employee_Master!$A$5:$A$104,0)),"ID not found"))</f>
        <v/>
      </c>
      <c r="F42" s="37"/>
      <c r="G42" s="37"/>
      <c r="H42" s="31" t="str">
        <f aca="false">IF(OR(C42="",G42=""),"",IF(G42&lt;&gt;E42,"Yes","No"))</f>
        <v/>
      </c>
      <c r="I42" s="12"/>
      <c r="J42" s="12"/>
      <c r="K42" s="37"/>
      <c r="L42" s="31" t="str">
        <f aca="false">IF(F42="","",IFERROR(INDEX(Reference_Data!$P$5:$P$14,MATCH(F42,Reference_Data!$O$5:$O$14,0)),0))</f>
        <v/>
      </c>
      <c r="M42" s="37"/>
      <c r="N42" s="37"/>
      <c r="O42" s="38"/>
      <c r="P42" s="37"/>
      <c r="Q42" s="31" t="n">
        <f aca="false">IF(AND(N42="Approved",L42&lt;&gt;""),L42,0)</f>
        <v>0</v>
      </c>
      <c r="R42" s="12"/>
    </row>
    <row r="43" customFormat="false" ht="15" hidden="false" customHeight="false" outlineLevel="0" collapsed="false">
      <c r="A43" s="37"/>
      <c r="B43" s="38"/>
      <c r="C43" s="37"/>
      <c r="D43" s="31" t="str">
        <f aca="false">IF($C43="","",IFERROR(INDEX(Employee_Master!$B$5:$B$104,MATCH($C43,Employee_Master!$A$5:$A$104,0)),"ID not found"))</f>
        <v/>
      </c>
      <c r="E43" s="31" t="str">
        <f aca="false">IF($C43="","",IFERROR(INDEX(Employee_Master!$C$5:$C$104,MATCH($C43,Employee_Master!$A$5:$A$104,0)),"ID not found"))</f>
        <v/>
      </c>
      <c r="F43" s="37"/>
      <c r="G43" s="37"/>
      <c r="H43" s="31" t="str">
        <f aca="false">IF(OR(C43="",G43=""),"",IF(G43&lt;&gt;E43,"Yes","No"))</f>
        <v/>
      </c>
      <c r="I43" s="12"/>
      <c r="J43" s="12"/>
      <c r="K43" s="37"/>
      <c r="L43" s="31" t="str">
        <f aca="false">IF(F43="","",IFERROR(INDEX(Reference_Data!$P$5:$P$14,MATCH(F43,Reference_Data!$O$5:$O$14,0)),0))</f>
        <v/>
      </c>
      <c r="M43" s="37"/>
      <c r="N43" s="37"/>
      <c r="O43" s="38"/>
      <c r="P43" s="37"/>
      <c r="Q43" s="31" t="n">
        <f aca="false">IF(AND(N43="Approved",L43&lt;&gt;""),L43,0)</f>
        <v>0</v>
      </c>
      <c r="R43" s="12"/>
    </row>
    <row r="44" customFormat="false" ht="15" hidden="false" customHeight="false" outlineLevel="0" collapsed="false">
      <c r="A44" s="37"/>
      <c r="B44" s="38"/>
      <c r="C44" s="37"/>
      <c r="D44" s="31" t="str">
        <f aca="false">IF($C44="","",IFERROR(INDEX(Employee_Master!$B$5:$B$104,MATCH($C44,Employee_Master!$A$5:$A$104,0)),"ID not found"))</f>
        <v/>
      </c>
      <c r="E44" s="31" t="str">
        <f aca="false">IF($C44="","",IFERROR(INDEX(Employee_Master!$C$5:$C$104,MATCH($C44,Employee_Master!$A$5:$A$104,0)),"ID not found"))</f>
        <v/>
      </c>
      <c r="F44" s="37"/>
      <c r="G44" s="37"/>
      <c r="H44" s="31" t="str">
        <f aca="false">IF(OR(C44="",G44=""),"",IF(G44&lt;&gt;E44,"Yes","No"))</f>
        <v/>
      </c>
      <c r="I44" s="12"/>
      <c r="J44" s="12"/>
      <c r="K44" s="37"/>
      <c r="L44" s="31" t="str">
        <f aca="false">IF(F44="","",IFERROR(INDEX(Reference_Data!$P$5:$P$14,MATCH(F44,Reference_Data!$O$5:$O$14,0)),0))</f>
        <v/>
      </c>
      <c r="M44" s="37"/>
      <c r="N44" s="37"/>
      <c r="O44" s="38"/>
      <c r="P44" s="37"/>
      <c r="Q44" s="31" t="n">
        <f aca="false">IF(AND(N44="Approved",L44&lt;&gt;""),L44,0)</f>
        <v>0</v>
      </c>
      <c r="R44" s="12"/>
    </row>
    <row r="45" customFormat="false" ht="15" hidden="false" customHeight="false" outlineLevel="0" collapsed="false">
      <c r="A45" s="37"/>
      <c r="B45" s="38"/>
      <c r="C45" s="37"/>
      <c r="D45" s="31" t="str">
        <f aca="false">IF($C45="","",IFERROR(INDEX(Employee_Master!$B$5:$B$104,MATCH($C45,Employee_Master!$A$5:$A$104,0)),"ID not found"))</f>
        <v/>
      </c>
      <c r="E45" s="31" t="str">
        <f aca="false">IF($C45="","",IFERROR(INDEX(Employee_Master!$C$5:$C$104,MATCH($C45,Employee_Master!$A$5:$A$104,0)),"ID not found"))</f>
        <v/>
      </c>
      <c r="F45" s="37"/>
      <c r="G45" s="37"/>
      <c r="H45" s="31" t="str">
        <f aca="false">IF(OR(C45="",G45=""),"",IF(G45&lt;&gt;E45,"Yes","No"))</f>
        <v/>
      </c>
      <c r="I45" s="12"/>
      <c r="J45" s="12"/>
      <c r="K45" s="37"/>
      <c r="L45" s="31" t="str">
        <f aca="false">IF(F45="","",IFERROR(INDEX(Reference_Data!$P$5:$P$14,MATCH(F45,Reference_Data!$O$5:$O$14,0)),0))</f>
        <v/>
      </c>
      <c r="M45" s="37"/>
      <c r="N45" s="37"/>
      <c r="O45" s="38"/>
      <c r="P45" s="37"/>
      <c r="Q45" s="31" t="n">
        <f aca="false">IF(AND(N45="Approved",L45&lt;&gt;""),L45,0)</f>
        <v>0</v>
      </c>
      <c r="R45" s="12"/>
    </row>
    <row r="46" customFormat="false" ht="15" hidden="false" customHeight="false" outlineLevel="0" collapsed="false">
      <c r="A46" s="37"/>
      <c r="B46" s="38"/>
      <c r="C46" s="37"/>
      <c r="D46" s="31" t="str">
        <f aca="false">IF($C46="","",IFERROR(INDEX(Employee_Master!$B$5:$B$104,MATCH($C46,Employee_Master!$A$5:$A$104,0)),"ID not found"))</f>
        <v/>
      </c>
      <c r="E46" s="31" t="str">
        <f aca="false">IF($C46="","",IFERROR(INDEX(Employee_Master!$C$5:$C$104,MATCH($C46,Employee_Master!$A$5:$A$104,0)),"ID not found"))</f>
        <v/>
      </c>
      <c r="F46" s="37"/>
      <c r="G46" s="37"/>
      <c r="H46" s="31" t="str">
        <f aca="false">IF(OR(C46="",G46=""),"",IF(G46&lt;&gt;E46,"Yes","No"))</f>
        <v/>
      </c>
      <c r="I46" s="12"/>
      <c r="J46" s="12"/>
      <c r="K46" s="37"/>
      <c r="L46" s="31" t="str">
        <f aca="false">IF(F46="","",IFERROR(INDEX(Reference_Data!$P$5:$P$14,MATCH(F46,Reference_Data!$O$5:$O$14,0)),0))</f>
        <v/>
      </c>
      <c r="M46" s="37"/>
      <c r="N46" s="37"/>
      <c r="O46" s="38"/>
      <c r="P46" s="37"/>
      <c r="Q46" s="31" t="n">
        <f aca="false">IF(AND(N46="Approved",L46&lt;&gt;""),L46,0)</f>
        <v>0</v>
      </c>
      <c r="R46" s="12"/>
    </row>
    <row r="47" customFormat="false" ht="15" hidden="false" customHeight="false" outlineLevel="0" collapsed="false">
      <c r="A47" s="37"/>
      <c r="B47" s="38"/>
      <c r="C47" s="37"/>
      <c r="D47" s="31" t="str">
        <f aca="false">IF($C47="","",IFERROR(INDEX(Employee_Master!$B$5:$B$104,MATCH($C47,Employee_Master!$A$5:$A$104,0)),"ID not found"))</f>
        <v/>
      </c>
      <c r="E47" s="31" t="str">
        <f aca="false">IF($C47="","",IFERROR(INDEX(Employee_Master!$C$5:$C$104,MATCH($C47,Employee_Master!$A$5:$A$104,0)),"ID not found"))</f>
        <v/>
      </c>
      <c r="F47" s="37"/>
      <c r="G47" s="37"/>
      <c r="H47" s="31" t="str">
        <f aca="false">IF(OR(C47="",G47=""),"",IF(G47&lt;&gt;E47,"Yes","No"))</f>
        <v/>
      </c>
      <c r="I47" s="12"/>
      <c r="J47" s="12"/>
      <c r="K47" s="37"/>
      <c r="L47" s="31" t="str">
        <f aca="false">IF(F47="","",IFERROR(INDEX(Reference_Data!$P$5:$P$14,MATCH(F47,Reference_Data!$O$5:$O$14,0)),0))</f>
        <v/>
      </c>
      <c r="M47" s="37"/>
      <c r="N47" s="37"/>
      <c r="O47" s="38"/>
      <c r="P47" s="37"/>
      <c r="Q47" s="31" t="n">
        <f aca="false">IF(AND(N47="Approved",L47&lt;&gt;""),L47,0)</f>
        <v>0</v>
      </c>
      <c r="R47" s="12"/>
    </row>
    <row r="48" customFormat="false" ht="15" hidden="false" customHeight="false" outlineLevel="0" collapsed="false">
      <c r="A48" s="37"/>
      <c r="B48" s="38"/>
      <c r="C48" s="37"/>
      <c r="D48" s="31" t="str">
        <f aca="false">IF($C48="","",IFERROR(INDEX(Employee_Master!$B$5:$B$104,MATCH($C48,Employee_Master!$A$5:$A$104,0)),"ID not found"))</f>
        <v/>
      </c>
      <c r="E48" s="31" t="str">
        <f aca="false">IF($C48="","",IFERROR(INDEX(Employee_Master!$C$5:$C$104,MATCH($C48,Employee_Master!$A$5:$A$104,0)),"ID not found"))</f>
        <v/>
      </c>
      <c r="F48" s="37"/>
      <c r="G48" s="37"/>
      <c r="H48" s="31" t="str">
        <f aca="false">IF(OR(C48="",G48=""),"",IF(G48&lt;&gt;E48,"Yes","No"))</f>
        <v/>
      </c>
      <c r="I48" s="12"/>
      <c r="J48" s="12"/>
      <c r="K48" s="37"/>
      <c r="L48" s="31" t="str">
        <f aca="false">IF(F48="","",IFERROR(INDEX(Reference_Data!$P$5:$P$14,MATCH(F48,Reference_Data!$O$5:$O$14,0)),0))</f>
        <v/>
      </c>
      <c r="M48" s="37"/>
      <c r="N48" s="37"/>
      <c r="O48" s="38"/>
      <c r="P48" s="37"/>
      <c r="Q48" s="31" t="n">
        <f aca="false">IF(AND(N48="Approved",L48&lt;&gt;""),L48,0)</f>
        <v>0</v>
      </c>
      <c r="R48" s="12"/>
    </row>
    <row r="49" customFormat="false" ht="15" hidden="false" customHeight="false" outlineLevel="0" collapsed="false">
      <c r="A49" s="37"/>
      <c r="B49" s="38"/>
      <c r="C49" s="37"/>
      <c r="D49" s="31" t="str">
        <f aca="false">IF($C49="","",IFERROR(INDEX(Employee_Master!$B$5:$B$104,MATCH($C49,Employee_Master!$A$5:$A$104,0)),"ID not found"))</f>
        <v/>
      </c>
      <c r="E49" s="31" t="str">
        <f aca="false">IF($C49="","",IFERROR(INDEX(Employee_Master!$C$5:$C$104,MATCH($C49,Employee_Master!$A$5:$A$104,0)),"ID not found"))</f>
        <v/>
      </c>
      <c r="F49" s="37"/>
      <c r="G49" s="37"/>
      <c r="H49" s="31" t="str">
        <f aca="false">IF(OR(C49="",G49=""),"",IF(G49&lt;&gt;E49,"Yes","No"))</f>
        <v/>
      </c>
      <c r="I49" s="12"/>
      <c r="J49" s="12"/>
      <c r="K49" s="37"/>
      <c r="L49" s="31" t="str">
        <f aca="false">IF(F49="","",IFERROR(INDEX(Reference_Data!$P$5:$P$14,MATCH(F49,Reference_Data!$O$5:$O$14,0)),0))</f>
        <v/>
      </c>
      <c r="M49" s="37"/>
      <c r="N49" s="37"/>
      <c r="O49" s="38"/>
      <c r="P49" s="37"/>
      <c r="Q49" s="31" t="n">
        <f aca="false">IF(AND(N49="Approved",L49&lt;&gt;""),L49,0)</f>
        <v>0</v>
      </c>
      <c r="R49" s="12"/>
    </row>
    <row r="50" customFormat="false" ht="15" hidden="false" customHeight="false" outlineLevel="0" collapsed="false">
      <c r="A50" s="37"/>
      <c r="B50" s="38"/>
      <c r="C50" s="37"/>
      <c r="D50" s="31" t="str">
        <f aca="false">IF($C50="","",IFERROR(INDEX(Employee_Master!$B$5:$B$104,MATCH($C50,Employee_Master!$A$5:$A$104,0)),"ID not found"))</f>
        <v/>
      </c>
      <c r="E50" s="31" t="str">
        <f aca="false">IF($C50="","",IFERROR(INDEX(Employee_Master!$C$5:$C$104,MATCH($C50,Employee_Master!$A$5:$A$104,0)),"ID not found"))</f>
        <v/>
      </c>
      <c r="F50" s="37"/>
      <c r="G50" s="37"/>
      <c r="H50" s="31" t="str">
        <f aca="false">IF(OR(C50="",G50=""),"",IF(G50&lt;&gt;E50,"Yes","No"))</f>
        <v/>
      </c>
      <c r="I50" s="12"/>
      <c r="J50" s="12"/>
      <c r="K50" s="37"/>
      <c r="L50" s="31" t="str">
        <f aca="false">IF(F50="","",IFERROR(INDEX(Reference_Data!$P$5:$P$14,MATCH(F50,Reference_Data!$O$5:$O$14,0)),0))</f>
        <v/>
      </c>
      <c r="M50" s="37"/>
      <c r="N50" s="37"/>
      <c r="O50" s="38"/>
      <c r="P50" s="37"/>
      <c r="Q50" s="31" t="n">
        <f aca="false">IF(AND(N50="Approved",L50&lt;&gt;""),L50,0)</f>
        <v>0</v>
      </c>
      <c r="R50" s="12"/>
    </row>
    <row r="51" customFormat="false" ht="15" hidden="false" customHeight="false" outlineLevel="0" collapsed="false">
      <c r="A51" s="37"/>
      <c r="B51" s="38"/>
      <c r="C51" s="37"/>
      <c r="D51" s="31" t="str">
        <f aca="false">IF($C51="","",IFERROR(INDEX(Employee_Master!$B$5:$B$104,MATCH($C51,Employee_Master!$A$5:$A$104,0)),"ID not found"))</f>
        <v/>
      </c>
      <c r="E51" s="31" t="str">
        <f aca="false">IF($C51="","",IFERROR(INDEX(Employee_Master!$C$5:$C$104,MATCH($C51,Employee_Master!$A$5:$A$104,0)),"ID not found"))</f>
        <v/>
      </c>
      <c r="F51" s="37"/>
      <c r="G51" s="37"/>
      <c r="H51" s="31" t="str">
        <f aca="false">IF(OR(C51="",G51=""),"",IF(G51&lt;&gt;E51,"Yes","No"))</f>
        <v/>
      </c>
      <c r="I51" s="12"/>
      <c r="J51" s="12"/>
      <c r="K51" s="37"/>
      <c r="L51" s="31" t="str">
        <f aca="false">IF(F51="","",IFERROR(INDEX(Reference_Data!$P$5:$P$14,MATCH(F51,Reference_Data!$O$5:$O$14,0)),0))</f>
        <v/>
      </c>
      <c r="M51" s="37"/>
      <c r="N51" s="37"/>
      <c r="O51" s="38"/>
      <c r="P51" s="37"/>
      <c r="Q51" s="31" t="n">
        <f aca="false">IF(AND(N51="Approved",L51&lt;&gt;""),L51,0)</f>
        <v>0</v>
      </c>
      <c r="R51" s="12"/>
    </row>
    <row r="52" customFormat="false" ht="15" hidden="false" customHeight="false" outlineLevel="0" collapsed="false">
      <c r="A52" s="37"/>
      <c r="B52" s="38"/>
      <c r="C52" s="37"/>
      <c r="D52" s="31" t="str">
        <f aca="false">IF($C52="","",IFERROR(INDEX(Employee_Master!$B$5:$B$104,MATCH($C52,Employee_Master!$A$5:$A$104,0)),"ID not found"))</f>
        <v/>
      </c>
      <c r="E52" s="31" t="str">
        <f aca="false">IF($C52="","",IFERROR(INDEX(Employee_Master!$C$5:$C$104,MATCH($C52,Employee_Master!$A$5:$A$104,0)),"ID not found"))</f>
        <v/>
      </c>
      <c r="F52" s="37"/>
      <c r="G52" s="37"/>
      <c r="H52" s="31" t="str">
        <f aca="false">IF(OR(C52="",G52=""),"",IF(G52&lt;&gt;E52,"Yes","No"))</f>
        <v/>
      </c>
      <c r="I52" s="12"/>
      <c r="J52" s="12"/>
      <c r="K52" s="37"/>
      <c r="L52" s="31" t="str">
        <f aca="false">IF(F52="","",IFERROR(INDEX(Reference_Data!$P$5:$P$14,MATCH(F52,Reference_Data!$O$5:$O$14,0)),0))</f>
        <v/>
      </c>
      <c r="M52" s="37"/>
      <c r="N52" s="37"/>
      <c r="O52" s="38"/>
      <c r="P52" s="37"/>
      <c r="Q52" s="31" t="n">
        <f aca="false">IF(AND(N52="Approved",L52&lt;&gt;""),L52,0)</f>
        <v>0</v>
      </c>
      <c r="R52" s="12"/>
    </row>
    <row r="53" customFormat="false" ht="15" hidden="false" customHeight="false" outlineLevel="0" collapsed="false">
      <c r="A53" s="37"/>
      <c r="B53" s="38"/>
      <c r="C53" s="37"/>
      <c r="D53" s="31" t="str">
        <f aca="false">IF($C53="","",IFERROR(INDEX(Employee_Master!$B$5:$B$104,MATCH($C53,Employee_Master!$A$5:$A$104,0)),"ID not found"))</f>
        <v/>
      </c>
      <c r="E53" s="31" t="str">
        <f aca="false">IF($C53="","",IFERROR(INDEX(Employee_Master!$C$5:$C$104,MATCH($C53,Employee_Master!$A$5:$A$104,0)),"ID not found"))</f>
        <v/>
      </c>
      <c r="F53" s="37"/>
      <c r="G53" s="37"/>
      <c r="H53" s="31" t="str">
        <f aca="false">IF(OR(C53="",G53=""),"",IF(G53&lt;&gt;E53,"Yes","No"))</f>
        <v/>
      </c>
      <c r="I53" s="12"/>
      <c r="J53" s="12"/>
      <c r="K53" s="37"/>
      <c r="L53" s="31" t="str">
        <f aca="false">IF(F53="","",IFERROR(INDEX(Reference_Data!$P$5:$P$14,MATCH(F53,Reference_Data!$O$5:$O$14,0)),0))</f>
        <v/>
      </c>
      <c r="M53" s="37"/>
      <c r="N53" s="37"/>
      <c r="O53" s="38"/>
      <c r="P53" s="37"/>
      <c r="Q53" s="31" t="n">
        <f aca="false">IF(AND(N53="Approved",L53&lt;&gt;""),L53,0)</f>
        <v>0</v>
      </c>
      <c r="R53" s="12"/>
    </row>
    <row r="54" customFormat="false" ht="15" hidden="false" customHeight="false" outlineLevel="0" collapsed="false">
      <c r="A54" s="37"/>
      <c r="B54" s="38"/>
      <c r="C54" s="37"/>
      <c r="D54" s="31" t="str">
        <f aca="false">IF($C54="","",IFERROR(INDEX(Employee_Master!$B$5:$B$104,MATCH($C54,Employee_Master!$A$5:$A$104,0)),"ID not found"))</f>
        <v/>
      </c>
      <c r="E54" s="31" t="str">
        <f aca="false">IF($C54="","",IFERROR(INDEX(Employee_Master!$C$5:$C$104,MATCH($C54,Employee_Master!$A$5:$A$104,0)),"ID not found"))</f>
        <v/>
      </c>
      <c r="F54" s="37"/>
      <c r="G54" s="37"/>
      <c r="H54" s="31" t="str">
        <f aca="false">IF(OR(C54="",G54=""),"",IF(G54&lt;&gt;E54,"Yes","No"))</f>
        <v/>
      </c>
      <c r="I54" s="12"/>
      <c r="J54" s="12"/>
      <c r="K54" s="37"/>
      <c r="L54" s="31" t="str">
        <f aca="false">IF(F54="","",IFERROR(INDEX(Reference_Data!$P$5:$P$14,MATCH(F54,Reference_Data!$O$5:$O$14,0)),0))</f>
        <v/>
      </c>
      <c r="M54" s="37"/>
      <c r="N54" s="37"/>
      <c r="O54" s="38"/>
      <c r="P54" s="37"/>
      <c r="Q54" s="31" t="n">
        <f aca="false">IF(AND(N54="Approved",L54&lt;&gt;""),L54,0)</f>
        <v>0</v>
      </c>
      <c r="R54" s="12"/>
    </row>
    <row r="55" customFormat="false" ht="15" hidden="false" customHeight="false" outlineLevel="0" collapsed="false">
      <c r="A55" s="37"/>
      <c r="B55" s="38"/>
      <c r="C55" s="37"/>
      <c r="D55" s="31" t="str">
        <f aca="false">IF($C55="","",IFERROR(INDEX(Employee_Master!$B$5:$B$104,MATCH($C55,Employee_Master!$A$5:$A$104,0)),"ID not found"))</f>
        <v/>
      </c>
      <c r="E55" s="31" t="str">
        <f aca="false">IF($C55="","",IFERROR(INDEX(Employee_Master!$C$5:$C$104,MATCH($C55,Employee_Master!$A$5:$A$104,0)),"ID not found"))</f>
        <v/>
      </c>
      <c r="F55" s="37"/>
      <c r="G55" s="37"/>
      <c r="H55" s="31" t="str">
        <f aca="false">IF(OR(C55="",G55=""),"",IF(G55&lt;&gt;E55,"Yes","No"))</f>
        <v/>
      </c>
      <c r="I55" s="12"/>
      <c r="J55" s="12"/>
      <c r="K55" s="37"/>
      <c r="L55" s="31" t="str">
        <f aca="false">IF(F55="","",IFERROR(INDEX(Reference_Data!$P$5:$P$14,MATCH(F55,Reference_Data!$O$5:$O$14,0)),0))</f>
        <v/>
      </c>
      <c r="M55" s="37"/>
      <c r="N55" s="37"/>
      <c r="O55" s="38"/>
      <c r="P55" s="37"/>
      <c r="Q55" s="31" t="n">
        <f aca="false">IF(AND(N55="Approved",L55&lt;&gt;""),L55,0)</f>
        <v>0</v>
      </c>
      <c r="R55" s="12"/>
    </row>
    <row r="56" customFormat="false" ht="15" hidden="false" customHeight="false" outlineLevel="0" collapsed="false">
      <c r="A56" s="37"/>
      <c r="B56" s="38"/>
      <c r="C56" s="37"/>
      <c r="D56" s="31" t="str">
        <f aca="false">IF($C56="","",IFERROR(INDEX(Employee_Master!$B$5:$B$104,MATCH($C56,Employee_Master!$A$5:$A$104,0)),"ID not found"))</f>
        <v/>
      </c>
      <c r="E56" s="31" t="str">
        <f aca="false">IF($C56="","",IFERROR(INDEX(Employee_Master!$C$5:$C$104,MATCH($C56,Employee_Master!$A$5:$A$104,0)),"ID not found"))</f>
        <v/>
      </c>
      <c r="F56" s="37"/>
      <c r="G56" s="37"/>
      <c r="H56" s="31" t="str">
        <f aca="false">IF(OR(C56="",G56=""),"",IF(G56&lt;&gt;E56,"Yes","No"))</f>
        <v/>
      </c>
      <c r="I56" s="12"/>
      <c r="J56" s="12"/>
      <c r="K56" s="37"/>
      <c r="L56" s="31" t="str">
        <f aca="false">IF(F56="","",IFERROR(INDEX(Reference_Data!$P$5:$P$14,MATCH(F56,Reference_Data!$O$5:$O$14,0)),0))</f>
        <v/>
      </c>
      <c r="M56" s="37"/>
      <c r="N56" s="37"/>
      <c r="O56" s="38"/>
      <c r="P56" s="37"/>
      <c r="Q56" s="31" t="n">
        <f aca="false">IF(AND(N56="Approved",L56&lt;&gt;""),L56,0)</f>
        <v>0</v>
      </c>
      <c r="R56" s="12"/>
    </row>
    <row r="57" customFormat="false" ht="15" hidden="false" customHeight="false" outlineLevel="0" collapsed="false">
      <c r="A57" s="37"/>
      <c r="B57" s="38"/>
      <c r="C57" s="37"/>
      <c r="D57" s="31" t="str">
        <f aca="false">IF($C57="","",IFERROR(INDEX(Employee_Master!$B$5:$B$104,MATCH($C57,Employee_Master!$A$5:$A$104,0)),"ID not found"))</f>
        <v/>
      </c>
      <c r="E57" s="31" t="str">
        <f aca="false">IF($C57="","",IFERROR(INDEX(Employee_Master!$C$5:$C$104,MATCH($C57,Employee_Master!$A$5:$A$104,0)),"ID not found"))</f>
        <v/>
      </c>
      <c r="F57" s="37"/>
      <c r="G57" s="37"/>
      <c r="H57" s="31" t="str">
        <f aca="false">IF(OR(C57="",G57=""),"",IF(G57&lt;&gt;E57,"Yes","No"))</f>
        <v/>
      </c>
      <c r="I57" s="12"/>
      <c r="J57" s="12"/>
      <c r="K57" s="37"/>
      <c r="L57" s="31" t="str">
        <f aca="false">IF(F57="","",IFERROR(INDEX(Reference_Data!$P$5:$P$14,MATCH(F57,Reference_Data!$O$5:$O$14,0)),0))</f>
        <v/>
      </c>
      <c r="M57" s="37"/>
      <c r="N57" s="37"/>
      <c r="O57" s="38"/>
      <c r="P57" s="37"/>
      <c r="Q57" s="31" t="n">
        <f aca="false">IF(AND(N57="Approved",L57&lt;&gt;""),L57,0)</f>
        <v>0</v>
      </c>
      <c r="R57" s="12"/>
    </row>
    <row r="58" customFormat="false" ht="15" hidden="false" customHeight="false" outlineLevel="0" collapsed="false">
      <c r="A58" s="37"/>
      <c r="B58" s="38"/>
      <c r="C58" s="37"/>
      <c r="D58" s="31" t="str">
        <f aca="false">IF($C58="","",IFERROR(INDEX(Employee_Master!$B$5:$B$104,MATCH($C58,Employee_Master!$A$5:$A$104,0)),"ID not found"))</f>
        <v/>
      </c>
      <c r="E58" s="31" t="str">
        <f aca="false">IF($C58="","",IFERROR(INDEX(Employee_Master!$C$5:$C$104,MATCH($C58,Employee_Master!$A$5:$A$104,0)),"ID not found"))</f>
        <v/>
      </c>
      <c r="F58" s="37"/>
      <c r="G58" s="37"/>
      <c r="H58" s="31" t="str">
        <f aca="false">IF(OR(C58="",G58=""),"",IF(G58&lt;&gt;E58,"Yes","No"))</f>
        <v/>
      </c>
      <c r="I58" s="12"/>
      <c r="J58" s="12"/>
      <c r="K58" s="37"/>
      <c r="L58" s="31" t="str">
        <f aca="false">IF(F58="","",IFERROR(INDEX(Reference_Data!$P$5:$P$14,MATCH(F58,Reference_Data!$O$5:$O$14,0)),0))</f>
        <v/>
      </c>
      <c r="M58" s="37"/>
      <c r="N58" s="37"/>
      <c r="O58" s="38"/>
      <c r="P58" s="37"/>
      <c r="Q58" s="31" t="n">
        <f aca="false">IF(AND(N58="Approved",L58&lt;&gt;""),L58,0)</f>
        <v>0</v>
      </c>
      <c r="R58" s="12"/>
    </row>
    <row r="59" customFormat="false" ht="15" hidden="false" customHeight="false" outlineLevel="0" collapsed="false">
      <c r="A59" s="37"/>
      <c r="B59" s="38"/>
      <c r="C59" s="37"/>
      <c r="D59" s="31" t="str">
        <f aca="false">IF($C59="","",IFERROR(INDEX(Employee_Master!$B$5:$B$104,MATCH($C59,Employee_Master!$A$5:$A$104,0)),"ID not found"))</f>
        <v/>
      </c>
      <c r="E59" s="31" t="str">
        <f aca="false">IF($C59="","",IFERROR(INDEX(Employee_Master!$C$5:$C$104,MATCH($C59,Employee_Master!$A$5:$A$104,0)),"ID not found"))</f>
        <v/>
      </c>
      <c r="F59" s="37"/>
      <c r="G59" s="37"/>
      <c r="H59" s="31" t="str">
        <f aca="false">IF(OR(C59="",G59=""),"",IF(G59&lt;&gt;E59,"Yes","No"))</f>
        <v/>
      </c>
      <c r="I59" s="12"/>
      <c r="J59" s="12"/>
      <c r="K59" s="37"/>
      <c r="L59" s="31" t="str">
        <f aca="false">IF(F59="","",IFERROR(INDEX(Reference_Data!$P$5:$P$14,MATCH(F59,Reference_Data!$O$5:$O$14,0)),0))</f>
        <v/>
      </c>
      <c r="M59" s="37"/>
      <c r="N59" s="37"/>
      <c r="O59" s="38"/>
      <c r="P59" s="37"/>
      <c r="Q59" s="31" t="n">
        <f aca="false">IF(AND(N59="Approved",L59&lt;&gt;""),L59,0)</f>
        <v>0</v>
      </c>
      <c r="R59" s="12"/>
    </row>
    <row r="60" customFormat="false" ht="15" hidden="false" customHeight="false" outlineLevel="0" collapsed="false">
      <c r="A60" s="37"/>
      <c r="B60" s="38"/>
      <c r="C60" s="37"/>
      <c r="D60" s="31" t="str">
        <f aca="false">IF($C60="","",IFERROR(INDEX(Employee_Master!$B$5:$B$104,MATCH($C60,Employee_Master!$A$5:$A$104,0)),"ID not found"))</f>
        <v/>
      </c>
      <c r="E60" s="31" t="str">
        <f aca="false">IF($C60="","",IFERROR(INDEX(Employee_Master!$C$5:$C$104,MATCH($C60,Employee_Master!$A$5:$A$104,0)),"ID not found"))</f>
        <v/>
      </c>
      <c r="F60" s="37"/>
      <c r="G60" s="37"/>
      <c r="H60" s="31" t="str">
        <f aca="false">IF(OR(C60="",G60=""),"",IF(G60&lt;&gt;E60,"Yes","No"))</f>
        <v/>
      </c>
      <c r="I60" s="12"/>
      <c r="J60" s="12"/>
      <c r="K60" s="37"/>
      <c r="L60" s="31" t="str">
        <f aca="false">IF(F60="","",IFERROR(INDEX(Reference_Data!$P$5:$P$14,MATCH(F60,Reference_Data!$O$5:$O$14,0)),0))</f>
        <v/>
      </c>
      <c r="M60" s="37"/>
      <c r="N60" s="37"/>
      <c r="O60" s="38"/>
      <c r="P60" s="37"/>
      <c r="Q60" s="31" t="n">
        <f aca="false">IF(AND(N60="Approved",L60&lt;&gt;""),L60,0)</f>
        <v>0</v>
      </c>
      <c r="R60" s="12"/>
    </row>
    <row r="61" customFormat="false" ht="15" hidden="false" customHeight="false" outlineLevel="0" collapsed="false">
      <c r="A61" s="37"/>
      <c r="B61" s="38"/>
      <c r="C61" s="37"/>
      <c r="D61" s="31" t="str">
        <f aca="false">IF($C61="","",IFERROR(INDEX(Employee_Master!$B$5:$B$104,MATCH($C61,Employee_Master!$A$5:$A$104,0)),"ID not found"))</f>
        <v/>
      </c>
      <c r="E61" s="31" t="str">
        <f aca="false">IF($C61="","",IFERROR(INDEX(Employee_Master!$C$5:$C$104,MATCH($C61,Employee_Master!$A$5:$A$104,0)),"ID not found"))</f>
        <v/>
      </c>
      <c r="F61" s="37"/>
      <c r="G61" s="37"/>
      <c r="H61" s="31" t="str">
        <f aca="false">IF(OR(C61="",G61=""),"",IF(G61&lt;&gt;E61,"Yes","No"))</f>
        <v/>
      </c>
      <c r="I61" s="12"/>
      <c r="J61" s="12"/>
      <c r="K61" s="37"/>
      <c r="L61" s="31" t="str">
        <f aca="false">IF(F61="","",IFERROR(INDEX(Reference_Data!$P$5:$P$14,MATCH(F61,Reference_Data!$O$5:$O$14,0)),0))</f>
        <v/>
      </c>
      <c r="M61" s="37"/>
      <c r="N61" s="37"/>
      <c r="O61" s="38"/>
      <c r="P61" s="37"/>
      <c r="Q61" s="31" t="n">
        <f aca="false">IF(AND(N61="Approved",L61&lt;&gt;""),L61,0)</f>
        <v>0</v>
      </c>
      <c r="R61" s="12"/>
    </row>
    <row r="62" customFormat="false" ht="15" hidden="false" customHeight="false" outlineLevel="0" collapsed="false">
      <c r="A62" s="37"/>
      <c r="B62" s="38"/>
      <c r="C62" s="37"/>
      <c r="D62" s="31" t="str">
        <f aca="false">IF($C62="","",IFERROR(INDEX(Employee_Master!$B$5:$B$104,MATCH($C62,Employee_Master!$A$5:$A$104,0)),"ID not found"))</f>
        <v/>
      </c>
      <c r="E62" s="31" t="str">
        <f aca="false">IF($C62="","",IFERROR(INDEX(Employee_Master!$C$5:$C$104,MATCH($C62,Employee_Master!$A$5:$A$104,0)),"ID not found"))</f>
        <v/>
      </c>
      <c r="F62" s="37"/>
      <c r="G62" s="37"/>
      <c r="H62" s="31" t="str">
        <f aca="false">IF(OR(C62="",G62=""),"",IF(G62&lt;&gt;E62,"Yes","No"))</f>
        <v/>
      </c>
      <c r="I62" s="12"/>
      <c r="J62" s="12"/>
      <c r="K62" s="37"/>
      <c r="L62" s="31" t="str">
        <f aca="false">IF(F62="","",IFERROR(INDEX(Reference_Data!$P$5:$P$14,MATCH(F62,Reference_Data!$O$5:$O$14,0)),0))</f>
        <v/>
      </c>
      <c r="M62" s="37"/>
      <c r="N62" s="37"/>
      <c r="O62" s="38"/>
      <c r="P62" s="37"/>
      <c r="Q62" s="31" t="n">
        <f aca="false">IF(AND(N62="Approved",L62&lt;&gt;""),L62,0)</f>
        <v>0</v>
      </c>
      <c r="R62" s="12"/>
    </row>
    <row r="63" customFormat="false" ht="15" hidden="false" customHeight="false" outlineLevel="0" collapsed="false">
      <c r="A63" s="37"/>
      <c r="B63" s="38"/>
      <c r="C63" s="37"/>
      <c r="D63" s="31" t="str">
        <f aca="false">IF($C63="","",IFERROR(INDEX(Employee_Master!$B$5:$B$104,MATCH($C63,Employee_Master!$A$5:$A$104,0)),"ID not found"))</f>
        <v/>
      </c>
      <c r="E63" s="31" t="str">
        <f aca="false">IF($C63="","",IFERROR(INDEX(Employee_Master!$C$5:$C$104,MATCH($C63,Employee_Master!$A$5:$A$104,0)),"ID not found"))</f>
        <v/>
      </c>
      <c r="F63" s="37"/>
      <c r="G63" s="37"/>
      <c r="H63" s="31" t="str">
        <f aca="false">IF(OR(C63="",G63=""),"",IF(G63&lt;&gt;E63,"Yes","No"))</f>
        <v/>
      </c>
      <c r="I63" s="12"/>
      <c r="J63" s="12"/>
      <c r="K63" s="37"/>
      <c r="L63" s="31" t="str">
        <f aca="false">IF(F63="","",IFERROR(INDEX(Reference_Data!$P$5:$P$14,MATCH(F63,Reference_Data!$O$5:$O$14,0)),0))</f>
        <v/>
      </c>
      <c r="M63" s="37"/>
      <c r="N63" s="37"/>
      <c r="O63" s="38"/>
      <c r="P63" s="37"/>
      <c r="Q63" s="31" t="n">
        <f aca="false">IF(AND(N63="Approved",L63&lt;&gt;""),L63,0)</f>
        <v>0</v>
      </c>
      <c r="R63" s="12"/>
    </row>
    <row r="64" customFormat="false" ht="15" hidden="false" customHeight="false" outlineLevel="0" collapsed="false">
      <c r="A64" s="37"/>
      <c r="B64" s="38"/>
      <c r="C64" s="37"/>
      <c r="D64" s="31" t="str">
        <f aca="false">IF($C64="","",IFERROR(INDEX(Employee_Master!$B$5:$B$104,MATCH($C64,Employee_Master!$A$5:$A$104,0)),"ID not found"))</f>
        <v/>
      </c>
      <c r="E64" s="31" t="str">
        <f aca="false">IF($C64="","",IFERROR(INDEX(Employee_Master!$C$5:$C$104,MATCH($C64,Employee_Master!$A$5:$A$104,0)),"ID not found"))</f>
        <v/>
      </c>
      <c r="F64" s="37"/>
      <c r="G64" s="37"/>
      <c r="H64" s="31" t="str">
        <f aca="false">IF(OR(C64="",G64=""),"",IF(G64&lt;&gt;E64,"Yes","No"))</f>
        <v/>
      </c>
      <c r="I64" s="12"/>
      <c r="J64" s="12"/>
      <c r="K64" s="37"/>
      <c r="L64" s="31" t="str">
        <f aca="false">IF(F64="","",IFERROR(INDEX(Reference_Data!$P$5:$P$14,MATCH(F64,Reference_Data!$O$5:$O$14,0)),0))</f>
        <v/>
      </c>
      <c r="M64" s="37"/>
      <c r="N64" s="37"/>
      <c r="O64" s="38"/>
      <c r="P64" s="37"/>
      <c r="Q64" s="31" t="n">
        <f aca="false">IF(AND(N64="Approved",L64&lt;&gt;""),L64,0)</f>
        <v>0</v>
      </c>
      <c r="R64" s="12"/>
    </row>
    <row r="65" customFormat="false" ht="15" hidden="false" customHeight="false" outlineLevel="0" collapsed="false">
      <c r="A65" s="37"/>
      <c r="B65" s="38"/>
      <c r="C65" s="37"/>
      <c r="D65" s="31" t="str">
        <f aca="false">IF($C65="","",IFERROR(INDEX(Employee_Master!$B$5:$B$104,MATCH($C65,Employee_Master!$A$5:$A$104,0)),"ID not found"))</f>
        <v/>
      </c>
      <c r="E65" s="31" t="str">
        <f aca="false">IF($C65="","",IFERROR(INDEX(Employee_Master!$C$5:$C$104,MATCH($C65,Employee_Master!$A$5:$A$104,0)),"ID not found"))</f>
        <v/>
      </c>
      <c r="F65" s="37"/>
      <c r="G65" s="37"/>
      <c r="H65" s="31" t="str">
        <f aca="false">IF(OR(C65="",G65=""),"",IF(G65&lt;&gt;E65,"Yes","No"))</f>
        <v/>
      </c>
      <c r="I65" s="12"/>
      <c r="J65" s="12"/>
      <c r="K65" s="37"/>
      <c r="L65" s="31" t="str">
        <f aca="false">IF(F65="","",IFERROR(INDEX(Reference_Data!$P$5:$P$14,MATCH(F65,Reference_Data!$O$5:$O$14,0)),0))</f>
        <v/>
      </c>
      <c r="M65" s="37"/>
      <c r="N65" s="37"/>
      <c r="O65" s="38"/>
      <c r="P65" s="37"/>
      <c r="Q65" s="31" t="n">
        <f aca="false">IF(AND(N65="Approved",L65&lt;&gt;""),L65,0)</f>
        <v>0</v>
      </c>
      <c r="R65" s="12"/>
    </row>
    <row r="66" customFormat="false" ht="15" hidden="false" customHeight="false" outlineLevel="0" collapsed="false">
      <c r="A66" s="37"/>
      <c r="B66" s="38"/>
      <c r="C66" s="37"/>
      <c r="D66" s="31" t="str">
        <f aca="false">IF($C66="","",IFERROR(INDEX(Employee_Master!$B$5:$B$104,MATCH($C66,Employee_Master!$A$5:$A$104,0)),"ID not found"))</f>
        <v/>
      </c>
      <c r="E66" s="31" t="str">
        <f aca="false">IF($C66="","",IFERROR(INDEX(Employee_Master!$C$5:$C$104,MATCH($C66,Employee_Master!$A$5:$A$104,0)),"ID not found"))</f>
        <v/>
      </c>
      <c r="F66" s="37"/>
      <c r="G66" s="37"/>
      <c r="H66" s="31" t="str">
        <f aca="false">IF(OR(C66="",G66=""),"",IF(G66&lt;&gt;E66,"Yes","No"))</f>
        <v/>
      </c>
      <c r="I66" s="12"/>
      <c r="J66" s="12"/>
      <c r="K66" s="37"/>
      <c r="L66" s="31" t="str">
        <f aca="false">IF(F66="","",IFERROR(INDEX(Reference_Data!$P$5:$P$14,MATCH(F66,Reference_Data!$O$5:$O$14,0)),0))</f>
        <v/>
      </c>
      <c r="M66" s="37"/>
      <c r="N66" s="37"/>
      <c r="O66" s="38"/>
      <c r="P66" s="37"/>
      <c r="Q66" s="31" t="n">
        <f aca="false">IF(AND(N66="Approved",L66&lt;&gt;""),L66,0)</f>
        <v>0</v>
      </c>
      <c r="R66" s="12"/>
    </row>
    <row r="67" customFormat="false" ht="15" hidden="false" customHeight="false" outlineLevel="0" collapsed="false">
      <c r="A67" s="37"/>
      <c r="B67" s="38"/>
      <c r="C67" s="37"/>
      <c r="D67" s="31" t="str">
        <f aca="false">IF($C67="","",IFERROR(INDEX(Employee_Master!$B$5:$B$104,MATCH($C67,Employee_Master!$A$5:$A$104,0)),"ID not found"))</f>
        <v/>
      </c>
      <c r="E67" s="31" t="str">
        <f aca="false">IF($C67="","",IFERROR(INDEX(Employee_Master!$C$5:$C$104,MATCH($C67,Employee_Master!$A$5:$A$104,0)),"ID not found"))</f>
        <v/>
      </c>
      <c r="F67" s="37"/>
      <c r="G67" s="37"/>
      <c r="H67" s="31" t="str">
        <f aca="false">IF(OR(C67="",G67=""),"",IF(G67&lt;&gt;E67,"Yes","No"))</f>
        <v/>
      </c>
      <c r="I67" s="12"/>
      <c r="J67" s="12"/>
      <c r="K67" s="37"/>
      <c r="L67" s="31" t="str">
        <f aca="false">IF(F67="","",IFERROR(INDEX(Reference_Data!$P$5:$P$14,MATCH(F67,Reference_Data!$O$5:$O$14,0)),0))</f>
        <v/>
      </c>
      <c r="M67" s="37"/>
      <c r="N67" s="37"/>
      <c r="O67" s="38"/>
      <c r="P67" s="37"/>
      <c r="Q67" s="31" t="n">
        <f aca="false">IF(AND(N67="Approved",L67&lt;&gt;""),L67,0)</f>
        <v>0</v>
      </c>
      <c r="R67" s="12"/>
    </row>
    <row r="68" customFormat="false" ht="15" hidden="false" customHeight="false" outlineLevel="0" collapsed="false">
      <c r="A68" s="37"/>
      <c r="B68" s="38"/>
      <c r="C68" s="37"/>
      <c r="D68" s="31" t="str">
        <f aca="false">IF($C68="","",IFERROR(INDEX(Employee_Master!$B$5:$B$104,MATCH($C68,Employee_Master!$A$5:$A$104,0)),"ID not found"))</f>
        <v/>
      </c>
      <c r="E68" s="31" t="str">
        <f aca="false">IF($C68="","",IFERROR(INDEX(Employee_Master!$C$5:$C$104,MATCH($C68,Employee_Master!$A$5:$A$104,0)),"ID not found"))</f>
        <v/>
      </c>
      <c r="F68" s="37"/>
      <c r="G68" s="37"/>
      <c r="H68" s="31" t="str">
        <f aca="false">IF(OR(C68="",G68=""),"",IF(G68&lt;&gt;E68,"Yes","No"))</f>
        <v/>
      </c>
      <c r="I68" s="12"/>
      <c r="J68" s="12"/>
      <c r="K68" s="37"/>
      <c r="L68" s="31" t="str">
        <f aca="false">IF(F68="","",IFERROR(INDEX(Reference_Data!$P$5:$P$14,MATCH(F68,Reference_Data!$O$5:$O$14,0)),0))</f>
        <v/>
      </c>
      <c r="M68" s="37"/>
      <c r="N68" s="37"/>
      <c r="O68" s="38"/>
      <c r="P68" s="37"/>
      <c r="Q68" s="31" t="n">
        <f aca="false">IF(AND(N68="Approved",L68&lt;&gt;""),L68,0)</f>
        <v>0</v>
      </c>
      <c r="R68" s="12"/>
    </row>
    <row r="69" customFormat="false" ht="15" hidden="false" customHeight="false" outlineLevel="0" collapsed="false">
      <c r="A69" s="37"/>
      <c r="B69" s="38"/>
      <c r="C69" s="37"/>
      <c r="D69" s="31" t="str">
        <f aca="false">IF($C69="","",IFERROR(INDEX(Employee_Master!$B$5:$B$104,MATCH($C69,Employee_Master!$A$5:$A$104,0)),"ID not found"))</f>
        <v/>
      </c>
      <c r="E69" s="31" t="str">
        <f aca="false">IF($C69="","",IFERROR(INDEX(Employee_Master!$C$5:$C$104,MATCH($C69,Employee_Master!$A$5:$A$104,0)),"ID not found"))</f>
        <v/>
      </c>
      <c r="F69" s="37"/>
      <c r="G69" s="37"/>
      <c r="H69" s="31" t="str">
        <f aca="false">IF(OR(C69="",G69=""),"",IF(G69&lt;&gt;E69,"Yes","No"))</f>
        <v/>
      </c>
      <c r="I69" s="12"/>
      <c r="J69" s="12"/>
      <c r="K69" s="37"/>
      <c r="L69" s="31" t="str">
        <f aca="false">IF(F69="","",IFERROR(INDEX(Reference_Data!$P$5:$P$14,MATCH(F69,Reference_Data!$O$5:$O$14,0)),0))</f>
        <v/>
      </c>
      <c r="M69" s="37"/>
      <c r="N69" s="37"/>
      <c r="O69" s="38"/>
      <c r="P69" s="37"/>
      <c r="Q69" s="31" t="n">
        <f aca="false">IF(AND(N69="Approved",L69&lt;&gt;""),L69,0)</f>
        <v>0</v>
      </c>
      <c r="R69" s="12"/>
    </row>
    <row r="70" customFormat="false" ht="15" hidden="false" customHeight="false" outlineLevel="0" collapsed="false">
      <c r="A70" s="37"/>
      <c r="B70" s="38"/>
      <c r="C70" s="37"/>
      <c r="D70" s="31" t="str">
        <f aca="false">IF($C70="","",IFERROR(INDEX(Employee_Master!$B$5:$B$104,MATCH($C70,Employee_Master!$A$5:$A$104,0)),"ID not found"))</f>
        <v/>
      </c>
      <c r="E70" s="31" t="str">
        <f aca="false">IF($C70="","",IFERROR(INDEX(Employee_Master!$C$5:$C$104,MATCH($C70,Employee_Master!$A$5:$A$104,0)),"ID not found"))</f>
        <v/>
      </c>
      <c r="F70" s="37"/>
      <c r="G70" s="37"/>
      <c r="H70" s="31" t="str">
        <f aca="false">IF(OR(C70="",G70=""),"",IF(G70&lt;&gt;E70,"Yes","No"))</f>
        <v/>
      </c>
      <c r="I70" s="12"/>
      <c r="J70" s="12"/>
      <c r="K70" s="37"/>
      <c r="L70" s="31" t="str">
        <f aca="false">IF(F70="","",IFERROR(INDEX(Reference_Data!$P$5:$P$14,MATCH(F70,Reference_Data!$O$5:$O$14,0)),0))</f>
        <v/>
      </c>
      <c r="M70" s="37"/>
      <c r="N70" s="37"/>
      <c r="O70" s="38"/>
      <c r="P70" s="37"/>
      <c r="Q70" s="31" t="n">
        <f aca="false">IF(AND(N70="Approved",L70&lt;&gt;""),L70,0)</f>
        <v>0</v>
      </c>
      <c r="R70" s="12"/>
    </row>
    <row r="71" customFormat="false" ht="15" hidden="false" customHeight="false" outlineLevel="0" collapsed="false">
      <c r="A71" s="37"/>
      <c r="B71" s="38"/>
      <c r="C71" s="37"/>
      <c r="D71" s="31" t="str">
        <f aca="false">IF($C71="","",IFERROR(INDEX(Employee_Master!$B$5:$B$104,MATCH($C71,Employee_Master!$A$5:$A$104,0)),"ID not found"))</f>
        <v/>
      </c>
      <c r="E71" s="31" t="str">
        <f aca="false">IF($C71="","",IFERROR(INDEX(Employee_Master!$C$5:$C$104,MATCH($C71,Employee_Master!$A$5:$A$104,0)),"ID not found"))</f>
        <v/>
      </c>
      <c r="F71" s="37"/>
      <c r="G71" s="37"/>
      <c r="H71" s="31" t="str">
        <f aca="false">IF(OR(C71="",G71=""),"",IF(G71&lt;&gt;E71,"Yes","No"))</f>
        <v/>
      </c>
      <c r="I71" s="12"/>
      <c r="J71" s="12"/>
      <c r="K71" s="37"/>
      <c r="L71" s="31" t="str">
        <f aca="false">IF(F71="","",IFERROR(INDEX(Reference_Data!$P$5:$P$14,MATCH(F71,Reference_Data!$O$5:$O$14,0)),0))</f>
        <v/>
      </c>
      <c r="M71" s="37"/>
      <c r="N71" s="37"/>
      <c r="O71" s="38"/>
      <c r="P71" s="37"/>
      <c r="Q71" s="31" t="n">
        <f aca="false">IF(AND(N71="Approved",L71&lt;&gt;""),L71,0)</f>
        <v>0</v>
      </c>
      <c r="R71" s="12"/>
    </row>
    <row r="72" customFormat="false" ht="15" hidden="false" customHeight="false" outlineLevel="0" collapsed="false">
      <c r="A72" s="37"/>
      <c r="B72" s="38"/>
      <c r="C72" s="37"/>
      <c r="D72" s="31" t="str">
        <f aca="false">IF($C72="","",IFERROR(INDEX(Employee_Master!$B$5:$B$104,MATCH($C72,Employee_Master!$A$5:$A$104,0)),"ID not found"))</f>
        <v/>
      </c>
      <c r="E72" s="31" t="str">
        <f aca="false">IF($C72="","",IFERROR(INDEX(Employee_Master!$C$5:$C$104,MATCH($C72,Employee_Master!$A$5:$A$104,0)),"ID not found"))</f>
        <v/>
      </c>
      <c r="F72" s="37"/>
      <c r="G72" s="37"/>
      <c r="H72" s="31" t="str">
        <f aca="false">IF(OR(C72="",G72=""),"",IF(G72&lt;&gt;E72,"Yes","No"))</f>
        <v/>
      </c>
      <c r="I72" s="12"/>
      <c r="J72" s="12"/>
      <c r="K72" s="37"/>
      <c r="L72" s="31" t="str">
        <f aca="false">IF(F72="","",IFERROR(INDEX(Reference_Data!$P$5:$P$14,MATCH(F72,Reference_Data!$O$5:$O$14,0)),0))</f>
        <v/>
      </c>
      <c r="M72" s="37"/>
      <c r="N72" s="37"/>
      <c r="O72" s="38"/>
      <c r="P72" s="37"/>
      <c r="Q72" s="31" t="n">
        <f aca="false">IF(AND(N72="Approved",L72&lt;&gt;""),L72,0)</f>
        <v>0</v>
      </c>
      <c r="R72" s="12"/>
    </row>
    <row r="73" customFormat="false" ht="15" hidden="false" customHeight="false" outlineLevel="0" collapsed="false">
      <c r="A73" s="37"/>
      <c r="B73" s="38"/>
      <c r="C73" s="37"/>
      <c r="D73" s="31" t="str">
        <f aca="false">IF($C73="","",IFERROR(INDEX(Employee_Master!$B$5:$B$104,MATCH($C73,Employee_Master!$A$5:$A$104,0)),"ID not found"))</f>
        <v/>
      </c>
      <c r="E73" s="31" t="str">
        <f aca="false">IF($C73="","",IFERROR(INDEX(Employee_Master!$C$5:$C$104,MATCH($C73,Employee_Master!$A$5:$A$104,0)),"ID not found"))</f>
        <v/>
      </c>
      <c r="F73" s="37"/>
      <c r="G73" s="37"/>
      <c r="H73" s="31" t="str">
        <f aca="false">IF(OR(C73="",G73=""),"",IF(G73&lt;&gt;E73,"Yes","No"))</f>
        <v/>
      </c>
      <c r="I73" s="12"/>
      <c r="J73" s="12"/>
      <c r="K73" s="37"/>
      <c r="L73" s="31" t="str">
        <f aca="false">IF(F73="","",IFERROR(INDEX(Reference_Data!$P$5:$P$14,MATCH(F73,Reference_Data!$O$5:$O$14,0)),0))</f>
        <v/>
      </c>
      <c r="M73" s="37"/>
      <c r="N73" s="37"/>
      <c r="O73" s="38"/>
      <c r="P73" s="37"/>
      <c r="Q73" s="31" t="n">
        <f aca="false">IF(AND(N73="Approved",L73&lt;&gt;""),L73,0)</f>
        <v>0</v>
      </c>
      <c r="R73" s="12"/>
    </row>
    <row r="74" customFormat="false" ht="15" hidden="false" customHeight="false" outlineLevel="0" collapsed="false">
      <c r="A74" s="37"/>
      <c r="B74" s="38"/>
      <c r="C74" s="37"/>
      <c r="D74" s="31" t="str">
        <f aca="false">IF($C74="","",IFERROR(INDEX(Employee_Master!$B$5:$B$104,MATCH($C74,Employee_Master!$A$5:$A$104,0)),"ID not found"))</f>
        <v/>
      </c>
      <c r="E74" s="31" t="str">
        <f aca="false">IF($C74="","",IFERROR(INDEX(Employee_Master!$C$5:$C$104,MATCH($C74,Employee_Master!$A$5:$A$104,0)),"ID not found"))</f>
        <v/>
      </c>
      <c r="F74" s="37"/>
      <c r="G74" s="37"/>
      <c r="H74" s="31" t="str">
        <f aca="false">IF(OR(C74="",G74=""),"",IF(G74&lt;&gt;E74,"Yes","No"))</f>
        <v/>
      </c>
      <c r="I74" s="12"/>
      <c r="J74" s="12"/>
      <c r="K74" s="37"/>
      <c r="L74" s="31" t="str">
        <f aca="false">IF(F74="","",IFERROR(INDEX(Reference_Data!$P$5:$P$14,MATCH(F74,Reference_Data!$O$5:$O$14,0)),0))</f>
        <v/>
      </c>
      <c r="M74" s="37"/>
      <c r="N74" s="37"/>
      <c r="O74" s="38"/>
      <c r="P74" s="37"/>
      <c r="Q74" s="31" t="n">
        <f aca="false">IF(AND(N74="Approved",L74&lt;&gt;""),L74,0)</f>
        <v>0</v>
      </c>
      <c r="R74" s="12"/>
    </row>
    <row r="75" customFormat="false" ht="15" hidden="false" customHeight="false" outlineLevel="0" collapsed="false">
      <c r="A75" s="37"/>
      <c r="B75" s="38"/>
      <c r="C75" s="37"/>
      <c r="D75" s="31" t="str">
        <f aca="false">IF($C75="","",IFERROR(INDEX(Employee_Master!$B$5:$B$104,MATCH($C75,Employee_Master!$A$5:$A$104,0)),"ID not found"))</f>
        <v/>
      </c>
      <c r="E75" s="31" t="str">
        <f aca="false">IF($C75="","",IFERROR(INDEX(Employee_Master!$C$5:$C$104,MATCH($C75,Employee_Master!$A$5:$A$104,0)),"ID not found"))</f>
        <v/>
      </c>
      <c r="F75" s="37"/>
      <c r="G75" s="37"/>
      <c r="H75" s="31" t="str">
        <f aca="false">IF(OR(C75="",G75=""),"",IF(G75&lt;&gt;E75,"Yes","No"))</f>
        <v/>
      </c>
      <c r="I75" s="12"/>
      <c r="J75" s="12"/>
      <c r="K75" s="37"/>
      <c r="L75" s="31" t="str">
        <f aca="false">IF(F75="","",IFERROR(INDEX(Reference_Data!$P$5:$P$14,MATCH(F75,Reference_Data!$O$5:$O$14,0)),0))</f>
        <v/>
      </c>
      <c r="M75" s="37"/>
      <c r="N75" s="37"/>
      <c r="O75" s="38"/>
      <c r="P75" s="37"/>
      <c r="Q75" s="31" t="n">
        <f aca="false">IF(AND(N75="Approved",L75&lt;&gt;""),L75,0)</f>
        <v>0</v>
      </c>
      <c r="R75" s="12"/>
    </row>
    <row r="76" customFormat="false" ht="15" hidden="false" customHeight="false" outlineLevel="0" collapsed="false">
      <c r="A76" s="37"/>
      <c r="B76" s="38"/>
      <c r="C76" s="37"/>
      <c r="D76" s="31" t="str">
        <f aca="false">IF($C76="","",IFERROR(INDEX(Employee_Master!$B$5:$B$104,MATCH($C76,Employee_Master!$A$5:$A$104,0)),"ID not found"))</f>
        <v/>
      </c>
      <c r="E76" s="31" t="str">
        <f aca="false">IF($C76="","",IFERROR(INDEX(Employee_Master!$C$5:$C$104,MATCH($C76,Employee_Master!$A$5:$A$104,0)),"ID not found"))</f>
        <v/>
      </c>
      <c r="F76" s="37"/>
      <c r="G76" s="37"/>
      <c r="H76" s="31" t="str">
        <f aca="false">IF(OR(C76="",G76=""),"",IF(G76&lt;&gt;E76,"Yes","No"))</f>
        <v/>
      </c>
      <c r="I76" s="12"/>
      <c r="J76" s="12"/>
      <c r="K76" s="37"/>
      <c r="L76" s="31" t="str">
        <f aca="false">IF(F76="","",IFERROR(INDEX(Reference_Data!$P$5:$P$14,MATCH(F76,Reference_Data!$O$5:$O$14,0)),0))</f>
        <v/>
      </c>
      <c r="M76" s="37"/>
      <c r="N76" s="37"/>
      <c r="O76" s="38"/>
      <c r="P76" s="37"/>
      <c r="Q76" s="31" t="n">
        <f aca="false">IF(AND(N76="Approved",L76&lt;&gt;""),L76,0)</f>
        <v>0</v>
      </c>
      <c r="R76" s="12"/>
    </row>
    <row r="77" customFormat="false" ht="15" hidden="false" customHeight="false" outlineLevel="0" collapsed="false">
      <c r="A77" s="37"/>
      <c r="B77" s="38"/>
      <c r="C77" s="37"/>
      <c r="D77" s="31" t="str">
        <f aca="false">IF($C77="","",IFERROR(INDEX(Employee_Master!$B$5:$B$104,MATCH($C77,Employee_Master!$A$5:$A$104,0)),"ID not found"))</f>
        <v/>
      </c>
      <c r="E77" s="31" t="str">
        <f aca="false">IF($C77="","",IFERROR(INDEX(Employee_Master!$C$5:$C$104,MATCH($C77,Employee_Master!$A$5:$A$104,0)),"ID not found"))</f>
        <v/>
      </c>
      <c r="F77" s="37"/>
      <c r="G77" s="37"/>
      <c r="H77" s="31" t="str">
        <f aca="false">IF(OR(C77="",G77=""),"",IF(G77&lt;&gt;E77,"Yes","No"))</f>
        <v/>
      </c>
      <c r="I77" s="12"/>
      <c r="J77" s="12"/>
      <c r="K77" s="37"/>
      <c r="L77" s="31" t="str">
        <f aca="false">IF(F77="","",IFERROR(INDEX(Reference_Data!$P$5:$P$14,MATCH(F77,Reference_Data!$O$5:$O$14,0)),0))</f>
        <v/>
      </c>
      <c r="M77" s="37"/>
      <c r="N77" s="37"/>
      <c r="O77" s="38"/>
      <c r="P77" s="37"/>
      <c r="Q77" s="31" t="n">
        <f aca="false">IF(AND(N77="Approved",L77&lt;&gt;""),L77,0)</f>
        <v>0</v>
      </c>
      <c r="R77" s="12"/>
    </row>
    <row r="78" customFormat="false" ht="15" hidden="false" customHeight="false" outlineLevel="0" collapsed="false">
      <c r="A78" s="37"/>
      <c r="B78" s="38"/>
      <c r="C78" s="37"/>
      <c r="D78" s="31" t="str">
        <f aca="false">IF($C78="","",IFERROR(INDEX(Employee_Master!$B$5:$B$104,MATCH($C78,Employee_Master!$A$5:$A$104,0)),"ID not found"))</f>
        <v/>
      </c>
      <c r="E78" s="31" t="str">
        <f aca="false">IF($C78="","",IFERROR(INDEX(Employee_Master!$C$5:$C$104,MATCH($C78,Employee_Master!$A$5:$A$104,0)),"ID not found"))</f>
        <v/>
      </c>
      <c r="F78" s="37"/>
      <c r="G78" s="37"/>
      <c r="H78" s="31" t="str">
        <f aca="false">IF(OR(C78="",G78=""),"",IF(G78&lt;&gt;E78,"Yes","No"))</f>
        <v/>
      </c>
      <c r="I78" s="12"/>
      <c r="J78" s="12"/>
      <c r="K78" s="37"/>
      <c r="L78" s="31" t="str">
        <f aca="false">IF(F78="","",IFERROR(INDEX(Reference_Data!$P$5:$P$14,MATCH(F78,Reference_Data!$O$5:$O$14,0)),0))</f>
        <v/>
      </c>
      <c r="M78" s="37"/>
      <c r="N78" s="37"/>
      <c r="O78" s="38"/>
      <c r="P78" s="37"/>
      <c r="Q78" s="31" t="n">
        <f aca="false">IF(AND(N78="Approved",L78&lt;&gt;""),L78,0)</f>
        <v>0</v>
      </c>
      <c r="R78" s="12"/>
    </row>
    <row r="79" customFormat="false" ht="15" hidden="false" customHeight="false" outlineLevel="0" collapsed="false">
      <c r="A79" s="37"/>
      <c r="B79" s="38"/>
      <c r="C79" s="37"/>
      <c r="D79" s="31" t="str">
        <f aca="false">IF($C79="","",IFERROR(INDEX(Employee_Master!$B$5:$B$104,MATCH($C79,Employee_Master!$A$5:$A$104,0)),"ID not found"))</f>
        <v/>
      </c>
      <c r="E79" s="31" t="str">
        <f aca="false">IF($C79="","",IFERROR(INDEX(Employee_Master!$C$5:$C$104,MATCH($C79,Employee_Master!$A$5:$A$104,0)),"ID not found"))</f>
        <v/>
      </c>
      <c r="F79" s="37"/>
      <c r="G79" s="37"/>
      <c r="H79" s="31" t="str">
        <f aca="false">IF(OR(C79="",G79=""),"",IF(G79&lt;&gt;E79,"Yes","No"))</f>
        <v/>
      </c>
      <c r="I79" s="12"/>
      <c r="J79" s="12"/>
      <c r="K79" s="37"/>
      <c r="L79" s="31" t="str">
        <f aca="false">IF(F79="","",IFERROR(INDEX(Reference_Data!$P$5:$P$14,MATCH(F79,Reference_Data!$O$5:$O$14,0)),0))</f>
        <v/>
      </c>
      <c r="M79" s="37"/>
      <c r="N79" s="37"/>
      <c r="O79" s="38"/>
      <c r="P79" s="37"/>
      <c r="Q79" s="31" t="n">
        <f aca="false">IF(AND(N79="Approved",L79&lt;&gt;""),L79,0)</f>
        <v>0</v>
      </c>
      <c r="R79" s="12"/>
    </row>
    <row r="80" customFormat="false" ht="15" hidden="false" customHeight="false" outlineLevel="0" collapsed="false">
      <c r="A80" s="37"/>
      <c r="B80" s="38"/>
      <c r="C80" s="37"/>
      <c r="D80" s="31" t="str">
        <f aca="false">IF($C80="","",IFERROR(INDEX(Employee_Master!$B$5:$B$104,MATCH($C80,Employee_Master!$A$5:$A$104,0)),"ID not found"))</f>
        <v/>
      </c>
      <c r="E80" s="31" t="str">
        <f aca="false">IF($C80="","",IFERROR(INDEX(Employee_Master!$C$5:$C$104,MATCH($C80,Employee_Master!$A$5:$A$104,0)),"ID not found"))</f>
        <v/>
      </c>
      <c r="F80" s="37"/>
      <c r="G80" s="37"/>
      <c r="H80" s="31" t="str">
        <f aca="false">IF(OR(C80="",G80=""),"",IF(G80&lt;&gt;E80,"Yes","No"))</f>
        <v/>
      </c>
      <c r="I80" s="12"/>
      <c r="J80" s="12"/>
      <c r="K80" s="37"/>
      <c r="L80" s="31" t="str">
        <f aca="false">IF(F80="","",IFERROR(INDEX(Reference_Data!$P$5:$P$14,MATCH(F80,Reference_Data!$O$5:$O$14,0)),0))</f>
        <v/>
      </c>
      <c r="M80" s="37"/>
      <c r="N80" s="37"/>
      <c r="O80" s="38"/>
      <c r="P80" s="37"/>
      <c r="Q80" s="31" t="n">
        <f aca="false">IF(AND(N80="Approved",L80&lt;&gt;""),L80,0)</f>
        <v>0</v>
      </c>
      <c r="R80" s="12"/>
    </row>
    <row r="81" customFormat="false" ht="15" hidden="false" customHeight="false" outlineLevel="0" collapsed="false">
      <c r="A81" s="37"/>
      <c r="B81" s="38"/>
      <c r="C81" s="37"/>
      <c r="D81" s="31" t="str">
        <f aca="false">IF($C81="","",IFERROR(INDEX(Employee_Master!$B$5:$B$104,MATCH($C81,Employee_Master!$A$5:$A$104,0)),"ID not found"))</f>
        <v/>
      </c>
      <c r="E81" s="31" t="str">
        <f aca="false">IF($C81="","",IFERROR(INDEX(Employee_Master!$C$5:$C$104,MATCH($C81,Employee_Master!$A$5:$A$104,0)),"ID not found"))</f>
        <v/>
      </c>
      <c r="F81" s="37"/>
      <c r="G81" s="37"/>
      <c r="H81" s="31" t="str">
        <f aca="false">IF(OR(C81="",G81=""),"",IF(G81&lt;&gt;E81,"Yes","No"))</f>
        <v/>
      </c>
      <c r="I81" s="12"/>
      <c r="J81" s="12"/>
      <c r="K81" s="37"/>
      <c r="L81" s="31" t="str">
        <f aca="false">IF(F81="","",IFERROR(INDEX(Reference_Data!$P$5:$P$14,MATCH(F81,Reference_Data!$O$5:$O$14,0)),0))</f>
        <v/>
      </c>
      <c r="M81" s="37"/>
      <c r="N81" s="37"/>
      <c r="O81" s="38"/>
      <c r="P81" s="37"/>
      <c r="Q81" s="31" t="n">
        <f aca="false">IF(AND(N81="Approved",L81&lt;&gt;""),L81,0)</f>
        <v>0</v>
      </c>
      <c r="R81" s="12"/>
    </row>
    <row r="82" customFormat="false" ht="15" hidden="false" customHeight="false" outlineLevel="0" collapsed="false">
      <c r="A82" s="37"/>
      <c r="B82" s="38"/>
      <c r="C82" s="37"/>
      <c r="D82" s="31" t="str">
        <f aca="false">IF($C82="","",IFERROR(INDEX(Employee_Master!$B$5:$B$104,MATCH($C82,Employee_Master!$A$5:$A$104,0)),"ID not found"))</f>
        <v/>
      </c>
      <c r="E82" s="31" t="str">
        <f aca="false">IF($C82="","",IFERROR(INDEX(Employee_Master!$C$5:$C$104,MATCH($C82,Employee_Master!$A$5:$A$104,0)),"ID not found"))</f>
        <v/>
      </c>
      <c r="F82" s="37"/>
      <c r="G82" s="37"/>
      <c r="H82" s="31" t="str">
        <f aca="false">IF(OR(C82="",G82=""),"",IF(G82&lt;&gt;E82,"Yes","No"))</f>
        <v/>
      </c>
      <c r="I82" s="12"/>
      <c r="J82" s="12"/>
      <c r="K82" s="37"/>
      <c r="L82" s="31" t="str">
        <f aca="false">IF(F82="","",IFERROR(INDEX(Reference_Data!$P$5:$P$14,MATCH(F82,Reference_Data!$O$5:$O$14,0)),0))</f>
        <v/>
      </c>
      <c r="M82" s="37"/>
      <c r="N82" s="37"/>
      <c r="O82" s="38"/>
      <c r="P82" s="37"/>
      <c r="Q82" s="31" t="n">
        <f aca="false">IF(AND(N82="Approved",L82&lt;&gt;""),L82,0)</f>
        <v>0</v>
      </c>
      <c r="R82" s="12"/>
    </row>
    <row r="83" customFormat="false" ht="15" hidden="false" customHeight="false" outlineLevel="0" collapsed="false">
      <c r="A83" s="37"/>
      <c r="B83" s="38"/>
      <c r="C83" s="37"/>
      <c r="D83" s="31" t="str">
        <f aca="false">IF($C83="","",IFERROR(INDEX(Employee_Master!$B$5:$B$104,MATCH($C83,Employee_Master!$A$5:$A$104,0)),"ID not found"))</f>
        <v/>
      </c>
      <c r="E83" s="31" t="str">
        <f aca="false">IF($C83="","",IFERROR(INDEX(Employee_Master!$C$5:$C$104,MATCH($C83,Employee_Master!$A$5:$A$104,0)),"ID not found"))</f>
        <v/>
      </c>
      <c r="F83" s="37"/>
      <c r="G83" s="37"/>
      <c r="H83" s="31" t="str">
        <f aca="false">IF(OR(C83="",G83=""),"",IF(G83&lt;&gt;E83,"Yes","No"))</f>
        <v/>
      </c>
      <c r="I83" s="12"/>
      <c r="J83" s="12"/>
      <c r="K83" s="37"/>
      <c r="L83" s="31" t="str">
        <f aca="false">IF(F83="","",IFERROR(INDEX(Reference_Data!$P$5:$P$14,MATCH(F83,Reference_Data!$O$5:$O$14,0)),0))</f>
        <v/>
      </c>
      <c r="M83" s="37"/>
      <c r="N83" s="37"/>
      <c r="O83" s="38"/>
      <c r="P83" s="37"/>
      <c r="Q83" s="31" t="n">
        <f aca="false">IF(AND(N83="Approved",L83&lt;&gt;""),L83,0)</f>
        <v>0</v>
      </c>
      <c r="R83" s="12"/>
    </row>
    <row r="84" customFormat="false" ht="15" hidden="false" customHeight="false" outlineLevel="0" collapsed="false">
      <c r="A84" s="37"/>
      <c r="B84" s="38"/>
      <c r="C84" s="37"/>
      <c r="D84" s="31" t="str">
        <f aca="false">IF($C84="","",IFERROR(INDEX(Employee_Master!$B$5:$B$104,MATCH($C84,Employee_Master!$A$5:$A$104,0)),"ID not found"))</f>
        <v/>
      </c>
      <c r="E84" s="31" t="str">
        <f aca="false">IF($C84="","",IFERROR(INDEX(Employee_Master!$C$5:$C$104,MATCH($C84,Employee_Master!$A$5:$A$104,0)),"ID not found"))</f>
        <v/>
      </c>
      <c r="F84" s="37"/>
      <c r="G84" s="37"/>
      <c r="H84" s="31" t="str">
        <f aca="false">IF(OR(C84="",G84=""),"",IF(G84&lt;&gt;E84,"Yes","No"))</f>
        <v/>
      </c>
      <c r="I84" s="12"/>
      <c r="J84" s="12"/>
      <c r="K84" s="37"/>
      <c r="L84" s="31" t="str">
        <f aca="false">IF(F84="","",IFERROR(INDEX(Reference_Data!$P$5:$P$14,MATCH(F84,Reference_Data!$O$5:$O$14,0)),0))</f>
        <v/>
      </c>
      <c r="M84" s="37"/>
      <c r="N84" s="37"/>
      <c r="O84" s="38"/>
      <c r="P84" s="37"/>
      <c r="Q84" s="31" t="n">
        <f aca="false">IF(AND(N84="Approved",L84&lt;&gt;""),L84,0)</f>
        <v>0</v>
      </c>
      <c r="R84" s="12"/>
    </row>
    <row r="85" customFormat="false" ht="15" hidden="false" customHeight="false" outlineLevel="0" collapsed="false">
      <c r="A85" s="37"/>
      <c r="B85" s="38"/>
      <c r="C85" s="37"/>
      <c r="D85" s="31" t="str">
        <f aca="false">IF($C85="","",IFERROR(INDEX(Employee_Master!$B$5:$B$104,MATCH($C85,Employee_Master!$A$5:$A$104,0)),"ID not found"))</f>
        <v/>
      </c>
      <c r="E85" s="31" t="str">
        <f aca="false">IF($C85="","",IFERROR(INDEX(Employee_Master!$C$5:$C$104,MATCH($C85,Employee_Master!$A$5:$A$104,0)),"ID not found"))</f>
        <v/>
      </c>
      <c r="F85" s="37"/>
      <c r="G85" s="37"/>
      <c r="H85" s="31" t="str">
        <f aca="false">IF(OR(C85="",G85=""),"",IF(G85&lt;&gt;E85,"Yes","No"))</f>
        <v/>
      </c>
      <c r="I85" s="12"/>
      <c r="J85" s="12"/>
      <c r="K85" s="37"/>
      <c r="L85" s="31" t="str">
        <f aca="false">IF(F85="","",IFERROR(INDEX(Reference_Data!$P$5:$P$14,MATCH(F85,Reference_Data!$O$5:$O$14,0)),0))</f>
        <v/>
      </c>
      <c r="M85" s="37"/>
      <c r="N85" s="37"/>
      <c r="O85" s="38"/>
      <c r="P85" s="37"/>
      <c r="Q85" s="31" t="n">
        <f aca="false">IF(AND(N85="Approved",L85&lt;&gt;""),L85,0)</f>
        <v>0</v>
      </c>
      <c r="R85" s="12"/>
    </row>
    <row r="86" customFormat="false" ht="15" hidden="false" customHeight="false" outlineLevel="0" collapsed="false">
      <c r="A86" s="37"/>
      <c r="B86" s="38"/>
      <c r="C86" s="37"/>
      <c r="D86" s="31" t="str">
        <f aca="false">IF($C86="","",IFERROR(INDEX(Employee_Master!$B$5:$B$104,MATCH($C86,Employee_Master!$A$5:$A$104,0)),"ID not found"))</f>
        <v/>
      </c>
      <c r="E86" s="31" t="str">
        <f aca="false">IF($C86="","",IFERROR(INDEX(Employee_Master!$C$5:$C$104,MATCH($C86,Employee_Master!$A$5:$A$104,0)),"ID not found"))</f>
        <v/>
      </c>
      <c r="F86" s="37"/>
      <c r="G86" s="37"/>
      <c r="H86" s="31" t="str">
        <f aca="false">IF(OR(C86="",G86=""),"",IF(G86&lt;&gt;E86,"Yes","No"))</f>
        <v/>
      </c>
      <c r="I86" s="12"/>
      <c r="J86" s="12"/>
      <c r="K86" s="37"/>
      <c r="L86" s="31" t="str">
        <f aca="false">IF(F86="","",IFERROR(INDEX(Reference_Data!$P$5:$P$14,MATCH(F86,Reference_Data!$O$5:$O$14,0)),0))</f>
        <v/>
      </c>
      <c r="M86" s="37"/>
      <c r="N86" s="37"/>
      <c r="O86" s="38"/>
      <c r="P86" s="37"/>
      <c r="Q86" s="31" t="n">
        <f aca="false">IF(AND(N86="Approved",L86&lt;&gt;""),L86,0)</f>
        <v>0</v>
      </c>
      <c r="R86" s="12"/>
    </row>
    <row r="87" customFormat="false" ht="15" hidden="false" customHeight="false" outlineLevel="0" collapsed="false">
      <c r="A87" s="37"/>
      <c r="B87" s="38"/>
      <c r="C87" s="37"/>
      <c r="D87" s="31" t="str">
        <f aca="false">IF($C87="","",IFERROR(INDEX(Employee_Master!$B$5:$B$104,MATCH($C87,Employee_Master!$A$5:$A$104,0)),"ID not found"))</f>
        <v/>
      </c>
      <c r="E87" s="31" t="str">
        <f aca="false">IF($C87="","",IFERROR(INDEX(Employee_Master!$C$5:$C$104,MATCH($C87,Employee_Master!$A$5:$A$104,0)),"ID not found"))</f>
        <v/>
      </c>
      <c r="F87" s="37"/>
      <c r="G87" s="37"/>
      <c r="H87" s="31" t="str">
        <f aca="false">IF(OR(C87="",G87=""),"",IF(G87&lt;&gt;E87,"Yes","No"))</f>
        <v/>
      </c>
      <c r="I87" s="12"/>
      <c r="J87" s="12"/>
      <c r="K87" s="37"/>
      <c r="L87" s="31" t="str">
        <f aca="false">IF(F87="","",IFERROR(INDEX(Reference_Data!$P$5:$P$14,MATCH(F87,Reference_Data!$O$5:$O$14,0)),0))</f>
        <v/>
      </c>
      <c r="M87" s="37"/>
      <c r="N87" s="37"/>
      <c r="O87" s="38"/>
      <c r="P87" s="37"/>
      <c r="Q87" s="31" t="n">
        <f aca="false">IF(AND(N87="Approved",L87&lt;&gt;""),L87,0)</f>
        <v>0</v>
      </c>
      <c r="R87" s="12"/>
    </row>
    <row r="88" customFormat="false" ht="15" hidden="false" customHeight="false" outlineLevel="0" collapsed="false">
      <c r="A88" s="37"/>
      <c r="B88" s="38"/>
      <c r="C88" s="37"/>
      <c r="D88" s="31" t="str">
        <f aca="false">IF($C88="","",IFERROR(INDEX(Employee_Master!$B$5:$B$104,MATCH($C88,Employee_Master!$A$5:$A$104,0)),"ID not found"))</f>
        <v/>
      </c>
      <c r="E88" s="31" t="str">
        <f aca="false">IF($C88="","",IFERROR(INDEX(Employee_Master!$C$5:$C$104,MATCH($C88,Employee_Master!$A$5:$A$104,0)),"ID not found"))</f>
        <v/>
      </c>
      <c r="F88" s="37"/>
      <c r="G88" s="37"/>
      <c r="H88" s="31" t="str">
        <f aca="false">IF(OR(C88="",G88=""),"",IF(G88&lt;&gt;E88,"Yes","No"))</f>
        <v/>
      </c>
      <c r="I88" s="12"/>
      <c r="J88" s="12"/>
      <c r="K88" s="37"/>
      <c r="L88" s="31" t="str">
        <f aca="false">IF(F88="","",IFERROR(INDEX(Reference_Data!$P$5:$P$14,MATCH(F88,Reference_Data!$O$5:$O$14,0)),0))</f>
        <v/>
      </c>
      <c r="M88" s="37"/>
      <c r="N88" s="37"/>
      <c r="O88" s="38"/>
      <c r="P88" s="37"/>
      <c r="Q88" s="31" t="n">
        <f aca="false">IF(AND(N88="Approved",L88&lt;&gt;""),L88,0)</f>
        <v>0</v>
      </c>
      <c r="R88" s="12"/>
    </row>
    <row r="89" customFormat="false" ht="15" hidden="false" customHeight="false" outlineLevel="0" collapsed="false">
      <c r="A89" s="37"/>
      <c r="B89" s="38"/>
      <c r="C89" s="37"/>
      <c r="D89" s="31" t="str">
        <f aca="false">IF($C89="","",IFERROR(INDEX(Employee_Master!$B$5:$B$104,MATCH($C89,Employee_Master!$A$5:$A$104,0)),"ID not found"))</f>
        <v/>
      </c>
      <c r="E89" s="31" t="str">
        <f aca="false">IF($C89="","",IFERROR(INDEX(Employee_Master!$C$5:$C$104,MATCH($C89,Employee_Master!$A$5:$A$104,0)),"ID not found"))</f>
        <v/>
      </c>
      <c r="F89" s="37"/>
      <c r="G89" s="37"/>
      <c r="H89" s="31" t="str">
        <f aca="false">IF(OR(C89="",G89=""),"",IF(G89&lt;&gt;E89,"Yes","No"))</f>
        <v/>
      </c>
      <c r="I89" s="12"/>
      <c r="J89" s="12"/>
      <c r="K89" s="37"/>
      <c r="L89" s="31" t="str">
        <f aca="false">IF(F89="","",IFERROR(INDEX(Reference_Data!$P$5:$P$14,MATCH(F89,Reference_Data!$O$5:$O$14,0)),0))</f>
        <v/>
      </c>
      <c r="M89" s="37"/>
      <c r="N89" s="37"/>
      <c r="O89" s="38"/>
      <c r="P89" s="37"/>
      <c r="Q89" s="31" t="n">
        <f aca="false">IF(AND(N89="Approved",L89&lt;&gt;""),L89,0)</f>
        <v>0</v>
      </c>
      <c r="R89" s="12"/>
    </row>
    <row r="90" customFormat="false" ht="15" hidden="false" customHeight="false" outlineLevel="0" collapsed="false">
      <c r="A90" s="37"/>
      <c r="B90" s="38"/>
      <c r="C90" s="37"/>
      <c r="D90" s="31" t="str">
        <f aca="false">IF($C90="","",IFERROR(INDEX(Employee_Master!$B$5:$B$104,MATCH($C90,Employee_Master!$A$5:$A$104,0)),"ID not found"))</f>
        <v/>
      </c>
      <c r="E90" s="31" t="str">
        <f aca="false">IF($C90="","",IFERROR(INDEX(Employee_Master!$C$5:$C$104,MATCH($C90,Employee_Master!$A$5:$A$104,0)),"ID not found"))</f>
        <v/>
      </c>
      <c r="F90" s="37"/>
      <c r="G90" s="37"/>
      <c r="H90" s="31" t="str">
        <f aca="false">IF(OR(C90="",G90=""),"",IF(G90&lt;&gt;E90,"Yes","No"))</f>
        <v/>
      </c>
      <c r="I90" s="12"/>
      <c r="J90" s="12"/>
      <c r="K90" s="37"/>
      <c r="L90" s="31" t="str">
        <f aca="false">IF(F90="","",IFERROR(INDEX(Reference_Data!$P$5:$P$14,MATCH(F90,Reference_Data!$O$5:$O$14,0)),0))</f>
        <v/>
      </c>
      <c r="M90" s="37"/>
      <c r="N90" s="37"/>
      <c r="O90" s="38"/>
      <c r="P90" s="37"/>
      <c r="Q90" s="31" t="n">
        <f aca="false">IF(AND(N90="Approved",L90&lt;&gt;""),L90,0)</f>
        <v>0</v>
      </c>
      <c r="R90" s="12"/>
    </row>
    <row r="91" customFormat="false" ht="15" hidden="false" customHeight="false" outlineLevel="0" collapsed="false">
      <c r="A91" s="37"/>
      <c r="B91" s="38"/>
      <c r="C91" s="37"/>
      <c r="D91" s="31" t="str">
        <f aca="false">IF($C91="","",IFERROR(INDEX(Employee_Master!$B$5:$B$104,MATCH($C91,Employee_Master!$A$5:$A$104,0)),"ID not found"))</f>
        <v/>
      </c>
      <c r="E91" s="31" t="str">
        <f aca="false">IF($C91="","",IFERROR(INDEX(Employee_Master!$C$5:$C$104,MATCH($C91,Employee_Master!$A$5:$A$104,0)),"ID not found"))</f>
        <v/>
      </c>
      <c r="F91" s="37"/>
      <c r="G91" s="37"/>
      <c r="H91" s="31" t="str">
        <f aca="false">IF(OR(C91="",G91=""),"",IF(G91&lt;&gt;E91,"Yes","No"))</f>
        <v/>
      </c>
      <c r="I91" s="12"/>
      <c r="J91" s="12"/>
      <c r="K91" s="37"/>
      <c r="L91" s="31" t="str">
        <f aca="false">IF(F91="","",IFERROR(INDEX(Reference_Data!$P$5:$P$14,MATCH(F91,Reference_Data!$O$5:$O$14,0)),0))</f>
        <v/>
      </c>
      <c r="M91" s="37"/>
      <c r="N91" s="37"/>
      <c r="O91" s="38"/>
      <c r="P91" s="37"/>
      <c r="Q91" s="31" t="n">
        <f aca="false">IF(AND(N91="Approved",L91&lt;&gt;""),L91,0)</f>
        <v>0</v>
      </c>
      <c r="R91" s="12"/>
    </row>
    <row r="92" customFormat="false" ht="15" hidden="false" customHeight="false" outlineLevel="0" collapsed="false">
      <c r="A92" s="37"/>
      <c r="B92" s="38"/>
      <c r="C92" s="37"/>
      <c r="D92" s="31" t="str">
        <f aca="false">IF($C92="","",IFERROR(INDEX(Employee_Master!$B$5:$B$104,MATCH($C92,Employee_Master!$A$5:$A$104,0)),"ID not found"))</f>
        <v/>
      </c>
      <c r="E92" s="31" t="str">
        <f aca="false">IF($C92="","",IFERROR(INDEX(Employee_Master!$C$5:$C$104,MATCH($C92,Employee_Master!$A$5:$A$104,0)),"ID not found"))</f>
        <v/>
      </c>
      <c r="F92" s="37"/>
      <c r="G92" s="37"/>
      <c r="H92" s="31" t="str">
        <f aca="false">IF(OR(C92="",G92=""),"",IF(G92&lt;&gt;E92,"Yes","No"))</f>
        <v/>
      </c>
      <c r="I92" s="12"/>
      <c r="J92" s="12"/>
      <c r="K92" s="37"/>
      <c r="L92" s="31" t="str">
        <f aca="false">IF(F92="","",IFERROR(INDEX(Reference_Data!$P$5:$P$14,MATCH(F92,Reference_Data!$O$5:$O$14,0)),0))</f>
        <v/>
      </c>
      <c r="M92" s="37"/>
      <c r="N92" s="37"/>
      <c r="O92" s="38"/>
      <c r="P92" s="37"/>
      <c r="Q92" s="31" t="n">
        <f aca="false">IF(AND(N92="Approved",L92&lt;&gt;""),L92,0)</f>
        <v>0</v>
      </c>
      <c r="R92" s="12"/>
    </row>
    <row r="93" customFormat="false" ht="15" hidden="false" customHeight="false" outlineLevel="0" collapsed="false">
      <c r="A93" s="37"/>
      <c r="B93" s="38"/>
      <c r="C93" s="37"/>
      <c r="D93" s="31" t="str">
        <f aca="false">IF($C93="","",IFERROR(INDEX(Employee_Master!$B$5:$B$104,MATCH($C93,Employee_Master!$A$5:$A$104,0)),"ID not found"))</f>
        <v/>
      </c>
      <c r="E93" s="31" t="str">
        <f aca="false">IF($C93="","",IFERROR(INDEX(Employee_Master!$C$5:$C$104,MATCH($C93,Employee_Master!$A$5:$A$104,0)),"ID not found"))</f>
        <v/>
      </c>
      <c r="F93" s="37"/>
      <c r="G93" s="37"/>
      <c r="H93" s="31" t="str">
        <f aca="false">IF(OR(C93="",G93=""),"",IF(G93&lt;&gt;E93,"Yes","No"))</f>
        <v/>
      </c>
      <c r="I93" s="12"/>
      <c r="J93" s="12"/>
      <c r="K93" s="37"/>
      <c r="L93" s="31" t="str">
        <f aca="false">IF(F93="","",IFERROR(INDEX(Reference_Data!$P$5:$P$14,MATCH(F93,Reference_Data!$O$5:$O$14,0)),0))</f>
        <v/>
      </c>
      <c r="M93" s="37"/>
      <c r="N93" s="37"/>
      <c r="O93" s="38"/>
      <c r="P93" s="37"/>
      <c r="Q93" s="31" t="n">
        <f aca="false">IF(AND(N93="Approved",L93&lt;&gt;""),L93,0)</f>
        <v>0</v>
      </c>
      <c r="R93" s="12"/>
    </row>
    <row r="94" customFormat="false" ht="15" hidden="false" customHeight="false" outlineLevel="0" collapsed="false">
      <c r="A94" s="37"/>
      <c r="B94" s="38"/>
      <c r="C94" s="37"/>
      <c r="D94" s="31" t="str">
        <f aca="false">IF($C94="","",IFERROR(INDEX(Employee_Master!$B$5:$B$104,MATCH($C94,Employee_Master!$A$5:$A$104,0)),"ID not found"))</f>
        <v/>
      </c>
      <c r="E94" s="31" t="str">
        <f aca="false">IF($C94="","",IFERROR(INDEX(Employee_Master!$C$5:$C$104,MATCH($C94,Employee_Master!$A$5:$A$104,0)),"ID not found"))</f>
        <v/>
      </c>
      <c r="F94" s="37"/>
      <c r="G94" s="37"/>
      <c r="H94" s="31" t="str">
        <f aca="false">IF(OR(C94="",G94=""),"",IF(G94&lt;&gt;E94,"Yes","No"))</f>
        <v/>
      </c>
      <c r="I94" s="12"/>
      <c r="J94" s="12"/>
      <c r="K94" s="37"/>
      <c r="L94" s="31" t="str">
        <f aca="false">IF(F94="","",IFERROR(INDEX(Reference_Data!$P$5:$P$14,MATCH(F94,Reference_Data!$O$5:$O$14,0)),0))</f>
        <v/>
      </c>
      <c r="M94" s="37"/>
      <c r="N94" s="37"/>
      <c r="O94" s="38"/>
      <c r="P94" s="37"/>
      <c r="Q94" s="31" t="n">
        <f aca="false">IF(AND(N94="Approved",L94&lt;&gt;""),L94,0)</f>
        <v>0</v>
      </c>
      <c r="R94" s="12"/>
    </row>
    <row r="95" customFormat="false" ht="15" hidden="false" customHeight="false" outlineLevel="0" collapsed="false">
      <c r="A95" s="37"/>
      <c r="B95" s="38"/>
      <c r="C95" s="37"/>
      <c r="D95" s="31" t="str">
        <f aca="false">IF($C95="","",IFERROR(INDEX(Employee_Master!$B$5:$B$104,MATCH($C95,Employee_Master!$A$5:$A$104,0)),"ID not found"))</f>
        <v/>
      </c>
      <c r="E95" s="31" t="str">
        <f aca="false">IF($C95="","",IFERROR(INDEX(Employee_Master!$C$5:$C$104,MATCH($C95,Employee_Master!$A$5:$A$104,0)),"ID not found"))</f>
        <v/>
      </c>
      <c r="F95" s="37"/>
      <c r="G95" s="37"/>
      <c r="H95" s="31" t="str">
        <f aca="false">IF(OR(C95="",G95=""),"",IF(G95&lt;&gt;E95,"Yes","No"))</f>
        <v/>
      </c>
      <c r="I95" s="12"/>
      <c r="J95" s="12"/>
      <c r="K95" s="37"/>
      <c r="L95" s="31" t="str">
        <f aca="false">IF(F95="","",IFERROR(INDEX(Reference_Data!$P$5:$P$14,MATCH(F95,Reference_Data!$O$5:$O$14,0)),0))</f>
        <v/>
      </c>
      <c r="M95" s="37"/>
      <c r="N95" s="37"/>
      <c r="O95" s="38"/>
      <c r="P95" s="37"/>
      <c r="Q95" s="31" t="n">
        <f aca="false">IF(AND(N95="Approved",L95&lt;&gt;""),L95,0)</f>
        <v>0</v>
      </c>
      <c r="R95" s="12"/>
    </row>
    <row r="96" customFormat="false" ht="15" hidden="false" customHeight="false" outlineLevel="0" collapsed="false">
      <c r="A96" s="37"/>
      <c r="B96" s="38"/>
      <c r="C96" s="37"/>
      <c r="D96" s="31" t="str">
        <f aca="false">IF($C96="","",IFERROR(INDEX(Employee_Master!$B$5:$B$104,MATCH($C96,Employee_Master!$A$5:$A$104,0)),"ID not found"))</f>
        <v/>
      </c>
      <c r="E96" s="31" t="str">
        <f aca="false">IF($C96="","",IFERROR(INDEX(Employee_Master!$C$5:$C$104,MATCH($C96,Employee_Master!$A$5:$A$104,0)),"ID not found"))</f>
        <v/>
      </c>
      <c r="F96" s="37"/>
      <c r="G96" s="37"/>
      <c r="H96" s="31" t="str">
        <f aca="false">IF(OR(C96="",G96=""),"",IF(G96&lt;&gt;E96,"Yes","No"))</f>
        <v/>
      </c>
      <c r="I96" s="12"/>
      <c r="J96" s="12"/>
      <c r="K96" s="37"/>
      <c r="L96" s="31" t="str">
        <f aca="false">IF(F96="","",IFERROR(INDEX(Reference_Data!$P$5:$P$14,MATCH(F96,Reference_Data!$O$5:$O$14,0)),0))</f>
        <v/>
      </c>
      <c r="M96" s="37"/>
      <c r="N96" s="37"/>
      <c r="O96" s="38"/>
      <c r="P96" s="37"/>
      <c r="Q96" s="31" t="n">
        <f aca="false">IF(AND(N96="Approved",L96&lt;&gt;""),L96,0)</f>
        <v>0</v>
      </c>
      <c r="R96" s="12"/>
    </row>
    <row r="97" customFormat="false" ht="15" hidden="false" customHeight="false" outlineLevel="0" collapsed="false">
      <c r="A97" s="37"/>
      <c r="B97" s="38"/>
      <c r="C97" s="37"/>
      <c r="D97" s="31" t="str">
        <f aca="false">IF($C97="","",IFERROR(INDEX(Employee_Master!$B$5:$B$104,MATCH($C97,Employee_Master!$A$5:$A$104,0)),"ID not found"))</f>
        <v/>
      </c>
      <c r="E97" s="31" t="str">
        <f aca="false">IF($C97="","",IFERROR(INDEX(Employee_Master!$C$5:$C$104,MATCH($C97,Employee_Master!$A$5:$A$104,0)),"ID not found"))</f>
        <v/>
      </c>
      <c r="F97" s="37"/>
      <c r="G97" s="37"/>
      <c r="H97" s="31" t="str">
        <f aca="false">IF(OR(C97="",G97=""),"",IF(G97&lt;&gt;E97,"Yes","No"))</f>
        <v/>
      </c>
      <c r="I97" s="12"/>
      <c r="J97" s="12"/>
      <c r="K97" s="37"/>
      <c r="L97" s="31" t="str">
        <f aca="false">IF(F97="","",IFERROR(INDEX(Reference_Data!$P$5:$P$14,MATCH(F97,Reference_Data!$O$5:$O$14,0)),0))</f>
        <v/>
      </c>
      <c r="M97" s="37"/>
      <c r="N97" s="37"/>
      <c r="O97" s="38"/>
      <c r="P97" s="37"/>
      <c r="Q97" s="31" t="n">
        <f aca="false">IF(AND(N97="Approved",L97&lt;&gt;""),L97,0)</f>
        <v>0</v>
      </c>
      <c r="R97" s="12"/>
    </row>
    <row r="98" customFormat="false" ht="15" hidden="false" customHeight="false" outlineLevel="0" collapsed="false">
      <c r="A98" s="37"/>
      <c r="B98" s="38"/>
      <c r="C98" s="37"/>
      <c r="D98" s="31" t="str">
        <f aca="false">IF($C98="","",IFERROR(INDEX(Employee_Master!$B$5:$B$104,MATCH($C98,Employee_Master!$A$5:$A$104,0)),"ID not found"))</f>
        <v/>
      </c>
      <c r="E98" s="31" t="str">
        <f aca="false">IF($C98="","",IFERROR(INDEX(Employee_Master!$C$5:$C$104,MATCH($C98,Employee_Master!$A$5:$A$104,0)),"ID not found"))</f>
        <v/>
      </c>
      <c r="F98" s="37"/>
      <c r="G98" s="37"/>
      <c r="H98" s="31" t="str">
        <f aca="false">IF(OR(C98="",G98=""),"",IF(G98&lt;&gt;E98,"Yes","No"))</f>
        <v/>
      </c>
      <c r="I98" s="12"/>
      <c r="J98" s="12"/>
      <c r="K98" s="37"/>
      <c r="L98" s="31" t="str">
        <f aca="false">IF(F98="","",IFERROR(INDEX(Reference_Data!$P$5:$P$14,MATCH(F98,Reference_Data!$O$5:$O$14,0)),0))</f>
        <v/>
      </c>
      <c r="M98" s="37"/>
      <c r="N98" s="37"/>
      <c r="O98" s="38"/>
      <c r="P98" s="37"/>
      <c r="Q98" s="31" t="n">
        <f aca="false">IF(AND(N98="Approved",L98&lt;&gt;""),L98,0)</f>
        <v>0</v>
      </c>
      <c r="R98" s="12"/>
    </row>
    <row r="99" customFormat="false" ht="15" hidden="false" customHeight="false" outlineLevel="0" collapsed="false">
      <c r="A99" s="37"/>
      <c r="B99" s="38"/>
      <c r="C99" s="37"/>
      <c r="D99" s="31" t="str">
        <f aca="false">IF($C99="","",IFERROR(INDEX(Employee_Master!$B$5:$B$104,MATCH($C99,Employee_Master!$A$5:$A$104,0)),"ID not found"))</f>
        <v/>
      </c>
      <c r="E99" s="31" t="str">
        <f aca="false">IF($C99="","",IFERROR(INDEX(Employee_Master!$C$5:$C$104,MATCH($C99,Employee_Master!$A$5:$A$104,0)),"ID not found"))</f>
        <v/>
      </c>
      <c r="F99" s="37"/>
      <c r="G99" s="37"/>
      <c r="H99" s="31" t="str">
        <f aca="false">IF(OR(C99="",G99=""),"",IF(G99&lt;&gt;E99,"Yes","No"))</f>
        <v/>
      </c>
      <c r="I99" s="12"/>
      <c r="J99" s="12"/>
      <c r="K99" s="37"/>
      <c r="L99" s="31" t="str">
        <f aca="false">IF(F99="","",IFERROR(INDEX(Reference_Data!$P$5:$P$14,MATCH(F99,Reference_Data!$O$5:$O$14,0)),0))</f>
        <v/>
      </c>
      <c r="M99" s="37"/>
      <c r="N99" s="37"/>
      <c r="O99" s="38"/>
      <c r="P99" s="37"/>
      <c r="Q99" s="31" t="n">
        <f aca="false">IF(AND(N99="Approved",L99&lt;&gt;""),L99,0)</f>
        <v>0</v>
      </c>
      <c r="R99" s="12"/>
    </row>
    <row r="100" customFormat="false" ht="15" hidden="false" customHeight="false" outlineLevel="0" collapsed="false">
      <c r="A100" s="37"/>
      <c r="B100" s="38"/>
      <c r="C100" s="37"/>
      <c r="D100" s="31" t="str">
        <f aca="false">IF($C100="","",IFERROR(INDEX(Employee_Master!$B$5:$B$104,MATCH($C100,Employee_Master!$A$5:$A$104,0)),"ID not found"))</f>
        <v/>
      </c>
      <c r="E100" s="31" t="str">
        <f aca="false">IF($C100="","",IFERROR(INDEX(Employee_Master!$C$5:$C$104,MATCH($C100,Employee_Master!$A$5:$A$104,0)),"ID not found"))</f>
        <v/>
      </c>
      <c r="F100" s="37"/>
      <c r="G100" s="37"/>
      <c r="H100" s="31" t="str">
        <f aca="false">IF(OR(C100="",G100=""),"",IF(G100&lt;&gt;E100,"Yes","No"))</f>
        <v/>
      </c>
      <c r="I100" s="12"/>
      <c r="J100" s="12"/>
      <c r="K100" s="37"/>
      <c r="L100" s="31" t="str">
        <f aca="false">IF(F100="","",IFERROR(INDEX(Reference_Data!$P$5:$P$14,MATCH(F100,Reference_Data!$O$5:$O$14,0)),0))</f>
        <v/>
      </c>
      <c r="M100" s="37"/>
      <c r="N100" s="37"/>
      <c r="O100" s="38"/>
      <c r="P100" s="37"/>
      <c r="Q100" s="31" t="n">
        <f aca="false">IF(AND(N100="Approved",L100&lt;&gt;""),L100,0)</f>
        <v>0</v>
      </c>
      <c r="R100" s="12"/>
    </row>
    <row r="101" customFormat="false" ht="15" hidden="false" customHeight="false" outlineLevel="0" collapsed="false">
      <c r="A101" s="37"/>
      <c r="B101" s="38"/>
      <c r="C101" s="37"/>
      <c r="D101" s="31" t="str">
        <f aca="false">IF($C101="","",IFERROR(INDEX(Employee_Master!$B$5:$B$104,MATCH($C101,Employee_Master!$A$5:$A$104,0)),"ID not found"))</f>
        <v/>
      </c>
      <c r="E101" s="31" t="str">
        <f aca="false">IF($C101="","",IFERROR(INDEX(Employee_Master!$C$5:$C$104,MATCH($C101,Employee_Master!$A$5:$A$104,0)),"ID not found"))</f>
        <v/>
      </c>
      <c r="F101" s="37"/>
      <c r="G101" s="37"/>
      <c r="H101" s="31" t="str">
        <f aca="false">IF(OR(C101="",G101=""),"",IF(G101&lt;&gt;E101,"Yes","No"))</f>
        <v/>
      </c>
      <c r="I101" s="12"/>
      <c r="J101" s="12"/>
      <c r="K101" s="37"/>
      <c r="L101" s="31" t="str">
        <f aca="false">IF(F101="","",IFERROR(INDEX(Reference_Data!$P$5:$P$14,MATCH(F101,Reference_Data!$O$5:$O$14,0)),0))</f>
        <v/>
      </c>
      <c r="M101" s="37"/>
      <c r="N101" s="37"/>
      <c r="O101" s="38"/>
      <c r="P101" s="37"/>
      <c r="Q101" s="31" t="n">
        <f aca="false">IF(AND(N101="Approved",L101&lt;&gt;""),L101,0)</f>
        <v>0</v>
      </c>
      <c r="R101" s="12"/>
    </row>
    <row r="102" customFormat="false" ht="15" hidden="false" customHeight="false" outlineLevel="0" collapsed="false">
      <c r="A102" s="37"/>
      <c r="B102" s="38"/>
      <c r="C102" s="37"/>
      <c r="D102" s="31" t="str">
        <f aca="false">IF($C102="","",IFERROR(INDEX(Employee_Master!$B$5:$B$104,MATCH($C102,Employee_Master!$A$5:$A$104,0)),"ID not found"))</f>
        <v/>
      </c>
      <c r="E102" s="31" t="str">
        <f aca="false">IF($C102="","",IFERROR(INDEX(Employee_Master!$C$5:$C$104,MATCH($C102,Employee_Master!$A$5:$A$104,0)),"ID not found"))</f>
        <v/>
      </c>
      <c r="F102" s="37"/>
      <c r="G102" s="37"/>
      <c r="H102" s="31" t="str">
        <f aca="false">IF(OR(C102="",G102=""),"",IF(G102&lt;&gt;E102,"Yes","No"))</f>
        <v/>
      </c>
      <c r="I102" s="12"/>
      <c r="J102" s="12"/>
      <c r="K102" s="37"/>
      <c r="L102" s="31" t="str">
        <f aca="false">IF(F102="","",IFERROR(INDEX(Reference_Data!$P$5:$P$14,MATCH(F102,Reference_Data!$O$5:$O$14,0)),0))</f>
        <v/>
      </c>
      <c r="M102" s="37"/>
      <c r="N102" s="37"/>
      <c r="O102" s="38"/>
      <c r="P102" s="37"/>
      <c r="Q102" s="31" t="n">
        <f aca="false">IF(AND(N102="Approved",L102&lt;&gt;""),L102,0)</f>
        <v>0</v>
      </c>
      <c r="R102" s="12"/>
    </row>
    <row r="103" customFormat="false" ht="15" hidden="false" customHeight="false" outlineLevel="0" collapsed="false">
      <c r="A103" s="37"/>
      <c r="B103" s="38"/>
      <c r="C103" s="37"/>
      <c r="D103" s="31" t="str">
        <f aca="false">IF($C103="","",IFERROR(INDEX(Employee_Master!$B$5:$B$104,MATCH($C103,Employee_Master!$A$5:$A$104,0)),"ID not found"))</f>
        <v/>
      </c>
      <c r="E103" s="31" t="str">
        <f aca="false">IF($C103="","",IFERROR(INDEX(Employee_Master!$C$5:$C$104,MATCH($C103,Employee_Master!$A$5:$A$104,0)),"ID not found"))</f>
        <v/>
      </c>
      <c r="F103" s="37"/>
      <c r="G103" s="37"/>
      <c r="H103" s="31" t="str">
        <f aca="false">IF(OR(C103="",G103=""),"",IF(G103&lt;&gt;E103,"Yes","No"))</f>
        <v/>
      </c>
      <c r="I103" s="12"/>
      <c r="J103" s="12"/>
      <c r="K103" s="37"/>
      <c r="L103" s="31" t="str">
        <f aca="false">IF(F103="","",IFERROR(INDEX(Reference_Data!$P$5:$P$14,MATCH(F103,Reference_Data!$O$5:$O$14,0)),0))</f>
        <v/>
      </c>
      <c r="M103" s="37"/>
      <c r="N103" s="37"/>
      <c r="O103" s="38"/>
      <c r="P103" s="37"/>
      <c r="Q103" s="31" t="n">
        <f aca="false">IF(AND(N103="Approved",L103&lt;&gt;""),L103,0)</f>
        <v>0</v>
      </c>
      <c r="R103" s="12"/>
    </row>
    <row r="104" customFormat="false" ht="15" hidden="false" customHeight="false" outlineLevel="0" collapsed="false">
      <c r="A104" s="37"/>
      <c r="B104" s="38"/>
      <c r="C104" s="37"/>
      <c r="D104" s="31" t="str">
        <f aca="false">IF($C104="","",IFERROR(INDEX(Employee_Master!$B$5:$B$104,MATCH($C104,Employee_Master!$A$5:$A$104,0)),"ID not found"))</f>
        <v/>
      </c>
      <c r="E104" s="31" t="str">
        <f aca="false">IF($C104="","",IFERROR(INDEX(Employee_Master!$C$5:$C$104,MATCH($C104,Employee_Master!$A$5:$A$104,0)),"ID not found"))</f>
        <v/>
      </c>
      <c r="F104" s="37"/>
      <c r="G104" s="37"/>
      <c r="H104" s="31" t="str">
        <f aca="false">IF(OR(C104="",G104=""),"",IF(G104&lt;&gt;E104,"Yes","No"))</f>
        <v/>
      </c>
      <c r="I104" s="12"/>
      <c r="J104" s="12"/>
      <c r="K104" s="37"/>
      <c r="L104" s="31" t="str">
        <f aca="false">IF(F104="","",IFERROR(INDEX(Reference_Data!$P$5:$P$14,MATCH(F104,Reference_Data!$O$5:$O$14,0)),0))</f>
        <v/>
      </c>
      <c r="M104" s="37"/>
      <c r="N104" s="37"/>
      <c r="O104" s="38"/>
      <c r="P104" s="37"/>
      <c r="Q104" s="31" t="n">
        <f aca="false">IF(AND(N104="Approved",L104&lt;&gt;""),L104,0)</f>
        <v>0</v>
      </c>
      <c r="R104" s="12"/>
    </row>
    <row r="105" customFormat="false" ht="15" hidden="false" customHeight="false" outlineLevel="0" collapsed="false">
      <c r="A105" s="37"/>
      <c r="B105" s="38"/>
      <c r="C105" s="37"/>
      <c r="D105" s="31" t="str">
        <f aca="false">IF($C105="","",IFERROR(INDEX(Employee_Master!$B$5:$B$104,MATCH($C105,Employee_Master!$A$5:$A$104,0)),"ID not found"))</f>
        <v/>
      </c>
      <c r="E105" s="31" t="str">
        <f aca="false">IF($C105="","",IFERROR(INDEX(Employee_Master!$C$5:$C$104,MATCH($C105,Employee_Master!$A$5:$A$104,0)),"ID not found"))</f>
        <v/>
      </c>
      <c r="F105" s="37"/>
      <c r="G105" s="37"/>
      <c r="H105" s="31" t="str">
        <f aca="false">IF(OR(C105="",G105=""),"",IF(G105&lt;&gt;E105,"Yes","No"))</f>
        <v/>
      </c>
      <c r="I105" s="12"/>
      <c r="J105" s="12"/>
      <c r="K105" s="37"/>
      <c r="L105" s="31" t="str">
        <f aca="false">IF(F105="","",IFERROR(INDEX(Reference_Data!$P$5:$P$14,MATCH(F105,Reference_Data!$O$5:$O$14,0)),0))</f>
        <v/>
      </c>
      <c r="M105" s="37"/>
      <c r="N105" s="37"/>
      <c r="O105" s="38"/>
      <c r="P105" s="37"/>
      <c r="Q105" s="31" t="n">
        <f aca="false">IF(AND(N105="Approved",L105&lt;&gt;""),L105,0)</f>
        <v>0</v>
      </c>
      <c r="R105" s="12"/>
    </row>
    <row r="106" customFormat="false" ht="15" hidden="false" customHeight="false" outlineLevel="0" collapsed="false">
      <c r="A106" s="37"/>
      <c r="B106" s="38"/>
      <c r="C106" s="37"/>
      <c r="D106" s="31" t="str">
        <f aca="false">IF($C106="","",IFERROR(INDEX(Employee_Master!$B$5:$B$104,MATCH($C106,Employee_Master!$A$5:$A$104,0)),"ID not found"))</f>
        <v/>
      </c>
      <c r="E106" s="31" t="str">
        <f aca="false">IF($C106="","",IFERROR(INDEX(Employee_Master!$C$5:$C$104,MATCH($C106,Employee_Master!$A$5:$A$104,0)),"ID not found"))</f>
        <v/>
      </c>
      <c r="F106" s="37"/>
      <c r="G106" s="37"/>
      <c r="H106" s="31" t="str">
        <f aca="false">IF(OR(C106="",G106=""),"",IF(G106&lt;&gt;E106,"Yes","No"))</f>
        <v/>
      </c>
      <c r="I106" s="12"/>
      <c r="J106" s="12"/>
      <c r="K106" s="37"/>
      <c r="L106" s="31" t="str">
        <f aca="false">IF(F106="","",IFERROR(INDEX(Reference_Data!$P$5:$P$14,MATCH(F106,Reference_Data!$O$5:$O$14,0)),0))</f>
        <v/>
      </c>
      <c r="M106" s="37"/>
      <c r="N106" s="37"/>
      <c r="O106" s="38"/>
      <c r="P106" s="37"/>
      <c r="Q106" s="31" t="n">
        <f aca="false">IF(AND(N106="Approved",L106&lt;&gt;""),L106,0)</f>
        <v>0</v>
      </c>
      <c r="R106" s="12"/>
    </row>
    <row r="107" customFormat="false" ht="15" hidden="false" customHeight="false" outlineLevel="0" collapsed="false">
      <c r="A107" s="37"/>
      <c r="B107" s="38"/>
      <c r="C107" s="37"/>
      <c r="D107" s="31" t="str">
        <f aca="false">IF($C107="","",IFERROR(INDEX(Employee_Master!$B$5:$B$104,MATCH($C107,Employee_Master!$A$5:$A$104,0)),"ID not found"))</f>
        <v/>
      </c>
      <c r="E107" s="31" t="str">
        <f aca="false">IF($C107="","",IFERROR(INDEX(Employee_Master!$C$5:$C$104,MATCH($C107,Employee_Master!$A$5:$A$104,0)),"ID not found"))</f>
        <v/>
      </c>
      <c r="F107" s="37"/>
      <c r="G107" s="37"/>
      <c r="H107" s="31" t="str">
        <f aca="false">IF(OR(C107="",G107=""),"",IF(G107&lt;&gt;E107,"Yes","No"))</f>
        <v/>
      </c>
      <c r="I107" s="12"/>
      <c r="J107" s="12"/>
      <c r="K107" s="37"/>
      <c r="L107" s="31" t="str">
        <f aca="false">IF(F107="","",IFERROR(INDEX(Reference_Data!$P$5:$P$14,MATCH(F107,Reference_Data!$O$5:$O$14,0)),0))</f>
        <v/>
      </c>
      <c r="M107" s="37"/>
      <c r="N107" s="37"/>
      <c r="O107" s="38"/>
      <c r="P107" s="37"/>
      <c r="Q107" s="31" t="n">
        <f aca="false">IF(AND(N107="Approved",L107&lt;&gt;""),L107,0)</f>
        <v>0</v>
      </c>
      <c r="R107" s="12"/>
    </row>
    <row r="108" customFormat="false" ht="15" hidden="false" customHeight="false" outlineLevel="0" collapsed="false">
      <c r="A108" s="37"/>
      <c r="B108" s="38"/>
      <c r="C108" s="37"/>
      <c r="D108" s="31" t="str">
        <f aca="false">IF($C108="","",IFERROR(INDEX(Employee_Master!$B$5:$B$104,MATCH($C108,Employee_Master!$A$5:$A$104,0)),"ID not found"))</f>
        <v/>
      </c>
      <c r="E108" s="31" t="str">
        <f aca="false">IF($C108="","",IFERROR(INDEX(Employee_Master!$C$5:$C$104,MATCH($C108,Employee_Master!$A$5:$A$104,0)),"ID not found"))</f>
        <v/>
      </c>
      <c r="F108" s="37"/>
      <c r="G108" s="37"/>
      <c r="H108" s="31" t="str">
        <f aca="false">IF(OR(C108="",G108=""),"",IF(G108&lt;&gt;E108,"Yes","No"))</f>
        <v/>
      </c>
      <c r="I108" s="12"/>
      <c r="J108" s="12"/>
      <c r="K108" s="37"/>
      <c r="L108" s="31" t="str">
        <f aca="false">IF(F108="","",IFERROR(INDEX(Reference_Data!$P$5:$P$14,MATCH(F108,Reference_Data!$O$5:$O$14,0)),0))</f>
        <v/>
      </c>
      <c r="M108" s="37"/>
      <c r="N108" s="37"/>
      <c r="O108" s="38"/>
      <c r="P108" s="37"/>
      <c r="Q108" s="31" t="n">
        <f aca="false">IF(AND(N108="Approved",L108&lt;&gt;""),L108,0)</f>
        <v>0</v>
      </c>
      <c r="R108" s="12"/>
    </row>
    <row r="109" customFormat="false" ht="15" hidden="false" customHeight="false" outlineLevel="0" collapsed="false">
      <c r="A109" s="37"/>
      <c r="B109" s="38"/>
      <c r="C109" s="37"/>
      <c r="D109" s="31" t="str">
        <f aca="false">IF($C109="","",IFERROR(INDEX(Employee_Master!$B$5:$B$104,MATCH($C109,Employee_Master!$A$5:$A$104,0)),"ID not found"))</f>
        <v/>
      </c>
      <c r="E109" s="31" t="str">
        <f aca="false">IF($C109="","",IFERROR(INDEX(Employee_Master!$C$5:$C$104,MATCH($C109,Employee_Master!$A$5:$A$104,0)),"ID not found"))</f>
        <v/>
      </c>
      <c r="F109" s="37"/>
      <c r="G109" s="37"/>
      <c r="H109" s="31" t="str">
        <f aca="false">IF(OR(C109="",G109=""),"",IF(G109&lt;&gt;E109,"Yes","No"))</f>
        <v/>
      </c>
      <c r="I109" s="12"/>
      <c r="J109" s="12"/>
      <c r="K109" s="37"/>
      <c r="L109" s="31" t="str">
        <f aca="false">IF(F109="","",IFERROR(INDEX(Reference_Data!$P$5:$P$14,MATCH(F109,Reference_Data!$O$5:$O$14,0)),0))</f>
        <v/>
      </c>
      <c r="M109" s="37"/>
      <c r="N109" s="37"/>
      <c r="O109" s="38"/>
      <c r="P109" s="37"/>
      <c r="Q109" s="31" t="n">
        <f aca="false">IF(AND(N109="Approved",L109&lt;&gt;""),L109,0)</f>
        <v>0</v>
      </c>
      <c r="R109" s="12"/>
    </row>
    <row r="110" customFormat="false" ht="15" hidden="false" customHeight="false" outlineLevel="0" collapsed="false">
      <c r="A110" s="37"/>
      <c r="B110" s="38"/>
      <c r="C110" s="37"/>
      <c r="D110" s="31" t="str">
        <f aca="false">IF($C110="","",IFERROR(INDEX(Employee_Master!$B$5:$B$104,MATCH($C110,Employee_Master!$A$5:$A$104,0)),"ID not found"))</f>
        <v/>
      </c>
      <c r="E110" s="31" t="str">
        <f aca="false">IF($C110="","",IFERROR(INDEX(Employee_Master!$C$5:$C$104,MATCH($C110,Employee_Master!$A$5:$A$104,0)),"ID not found"))</f>
        <v/>
      </c>
      <c r="F110" s="37"/>
      <c r="G110" s="37"/>
      <c r="H110" s="31" t="str">
        <f aca="false">IF(OR(C110="",G110=""),"",IF(G110&lt;&gt;E110,"Yes","No"))</f>
        <v/>
      </c>
      <c r="I110" s="12"/>
      <c r="J110" s="12"/>
      <c r="K110" s="37"/>
      <c r="L110" s="31" t="str">
        <f aca="false">IF(F110="","",IFERROR(INDEX(Reference_Data!$P$5:$P$14,MATCH(F110,Reference_Data!$O$5:$O$14,0)),0))</f>
        <v/>
      </c>
      <c r="M110" s="37"/>
      <c r="N110" s="37"/>
      <c r="O110" s="38"/>
      <c r="P110" s="37"/>
      <c r="Q110" s="31" t="n">
        <f aca="false">IF(AND(N110="Approved",L110&lt;&gt;""),L110,0)</f>
        <v>0</v>
      </c>
      <c r="R110" s="12"/>
    </row>
    <row r="111" customFormat="false" ht="15" hidden="false" customHeight="false" outlineLevel="0" collapsed="false">
      <c r="A111" s="37"/>
      <c r="B111" s="38"/>
      <c r="C111" s="37"/>
      <c r="D111" s="31" t="str">
        <f aca="false">IF($C111="","",IFERROR(INDEX(Employee_Master!$B$5:$B$104,MATCH($C111,Employee_Master!$A$5:$A$104,0)),"ID not found"))</f>
        <v/>
      </c>
      <c r="E111" s="31" t="str">
        <f aca="false">IF($C111="","",IFERROR(INDEX(Employee_Master!$C$5:$C$104,MATCH($C111,Employee_Master!$A$5:$A$104,0)),"ID not found"))</f>
        <v/>
      </c>
      <c r="F111" s="37"/>
      <c r="G111" s="37"/>
      <c r="H111" s="31" t="str">
        <f aca="false">IF(OR(C111="",G111=""),"",IF(G111&lt;&gt;E111,"Yes","No"))</f>
        <v/>
      </c>
      <c r="I111" s="12"/>
      <c r="J111" s="12"/>
      <c r="K111" s="37"/>
      <c r="L111" s="31" t="str">
        <f aca="false">IF(F111="","",IFERROR(INDEX(Reference_Data!$P$5:$P$14,MATCH(F111,Reference_Data!$O$5:$O$14,0)),0))</f>
        <v/>
      </c>
      <c r="M111" s="37"/>
      <c r="N111" s="37"/>
      <c r="O111" s="38"/>
      <c r="P111" s="37"/>
      <c r="Q111" s="31" t="n">
        <f aca="false">IF(AND(N111="Approved",L111&lt;&gt;""),L111,0)</f>
        <v>0</v>
      </c>
      <c r="R111" s="12"/>
    </row>
    <row r="112" customFormat="false" ht="15" hidden="false" customHeight="false" outlineLevel="0" collapsed="false">
      <c r="A112" s="37"/>
      <c r="B112" s="38"/>
      <c r="C112" s="37"/>
      <c r="D112" s="31" t="str">
        <f aca="false">IF($C112="","",IFERROR(INDEX(Employee_Master!$B$5:$B$104,MATCH($C112,Employee_Master!$A$5:$A$104,0)),"ID not found"))</f>
        <v/>
      </c>
      <c r="E112" s="31" t="str">
        <f aca="false">IF($C112="","",IFERROR(INDEX(Employee_Master!$C$5:$C$104,MATCH($C112,Employee_Master!$A$5:$A$104,0)),"ID not found"))</f>
        <v/>
      </c>
      <c r="F112" s="37"/>
      <c r="G112" s="37"/>
      <c r="H112" s="31" t="str">
        <f aca="false">IF(OR(C112="",G112=""),"",IF(G112&lt;&gt;E112,"Yes","No"))</f>
        <v/>
      </c>
      <c r="I112" s="12"/>
      <c r="J112" s="12"/>
      <c r="K112" s="37"/>
      <c r="L112" s="31" t="str">
        <f aca="false">IF(F112="","",IFERROR(INDEX(Reference_Data!$P$5:$P$14,MATCH(F112,Reference_Data!$O$5:$O$14,0)),0))</f>
        <v/>
      </c>
      <c r="M112" s="37"/>
      <c r="N112" s="37"/>
      <c r="O112" s="38"/>
      <c r="P112" s="37"/>
      <c r="Q112" s="31" t="n">
        <f aca="false">IF(AND(N112="Approved",L112&lt;&gt;""),L112,0)</f>
        <v>0</v>
      </c>
      <c r="R112" s="12"/>
    </row>
    <row r="113" customFormat="false" ht="15" hidden="false" customHeight="false" outlineLevel="0" collapsed="false">
      <c r="A113" s="37"/>
      <c r="B113" s="38"/>
      <c r="C113" s="37"/>
      <c r="D113" s="31" t="str">
        <f aca="false">IF($C113="","",IFERROR(INDEX(Employee_Master!$B$5:$B$104,MATCH($C113,Employee_Master!$A$5:$A$104,0)),"ID not found"))</f>
        <v/>
      </c>
      <c r="E113" s="31" t="str">
        <f aca="false">IF($C113="","",IFERROR(INDEX(Employee_Master!$C$5:$C$104,MATCH($C113,Employee_Master!$A$5:$A$104,0)),"ID not found"))</f>
        <v/>
      </c>
      <c r="F113" s="37"/>
      <c r="G113" s="37"/>
      <c r="H113" s="31" t="str">
        <f aca="false">IF(OR(C113="",G113=""),"",IF(G113&lt;&gt;E113,"Yes","No"))</f>
        <v/>
      </c>
      <c r="I113" s="12"/>
      <c r="J113" s="12"/>
      <c r="K113" s="37"/>
      <c r="L113" s="31" t="str">
        <f aca="false">IF(F113="","",IFERROR(INDEX(Reference_Data!$P$5:$P$14,MATCH(F113,Reference_Data!$O$5:$O$14,0)),0))</f>
        <v/>
      </c>
      <c r="M113" s="37"/>
      <c r="N113" s="37"/>
      <c r="O113" s="38"/>
      <c r="P113" s="37"/>
      <c r="Q113" s="31" t="n">
        <f aca="false">IF(AND(N113="Approved",L113&lt;&gt;""),L113,0)</f>
        <v>0</v>
      </c>
      <c r="R113" s="12"/>
    </row>
    <row r="114" customFormat="false" ht="15" hidden="false" customHeight="false" outlineLevel="0" collapsed="false">
      <c r="A114" s="37"/>
      <c r="B114" s="38"/>
      <c r="C114" s="37"/>
      <c r="D114" s="31" t="str">
        <f aca="false">IF($C114="","",IFERROR(INDEX(Employee_Master!$B$5:$B$104,MATCH($C114,Employee_Master!$A$5:$A$104,0)),"ID not found"))</f>
        <v/>
      </c>
      <c r="E114" s="31" t="str">
        <f aca="false">IF($C114="","",IFERROR(INDEX(Employee_Master!$C$5:$C$104,MATCH($C114,Employee_Master!$A$5:$A$104,0)),"ID not found"))</f>
        <v/>
      </c>
      <c r="F114" s="37"/>
      <c r="G114" s="37"/>
      <c r="H114" s="31" t="str">
        <f aca="false">IF(OR(C114="",G114=""),"",IF(G114&lt;&gt;E114,"Yes","No"))</f>
        <v/>
      </c>
      <c r="I114" s="12"/>
      <c r="J114" s="12"/>
      <c r="K114" s="37"/>
      <c r="L114" s="31" t="str">
        <f aca="false">IF(F114="","",IFERROR(INDEX(Reference_Data!$P$5:$P$14,MATCH(F114,Reference_Data!$O$5:$O$14,0)),0))</f>
        <v/>
      </c>
      <c r="M114" s="37"/>
      <c r="N114" s="37"/>
      <c r="O114" s="38"/>
      <c r="P114" s="37"/>
      <c r="Q114" s="31" t="n">
        <f aca="false">IF(AND(N114="Approved",L114&lt;&gt;""),L114,0)</f>
        <v>0</v>
      </c>
      <c r="R114" s="12"/>
    </row>
    <row r="115" customFormat="false" ht="15" hidden="false" customHeight="false" outlineLevel="0" collapsed="false">
      <c r="A115" s="37"/>
      <c r="B115" s="38"/>
      <c r="C115" s="37"/>
      <c r="D115" s="31" t="str">
        <f aca="false">IF($C115="","",IFERROR(INDEX(Employee_Master!$B$5:$B$104,MATCH($C115,Employee_Master!$A$5:$A$104,0)),"ID not found"))</f>
        <v/>
      </c>
      <c r="E115" s="31" t="str">
        <f aca="false">IF($C115="","",IFERROR(INDEX(Employee_Master!$C$5:$C$104,MATCH($C115,Employee_Master!$A$5:$A$104,0)),"ID not found"))</f>
        <v/>
      </c>
      <c r="F115" s="37"/>
      <c r="G115" s="37"/>
      <c r="H115" s="31" t="str">
        <f aca="false">IF(OR(C115="",G115=""),"",IF(G115&lt;&gt;E115,"Yes","No"))</f>
        <v/>
      </c>
      <c r="I115" s="12"/>
      <c r="J115" s="12"/>
      <c r="K115" s="37"/>
      <c r="L115" s="31" t="str">
        <f aca="false">IF(F115="","",IFERROR(INDEX(Reference_Data!$P$5:$P$14,MATCH(F115,Reference_Data!$O$5:$O$14,0)),0))</f>
        <v/>
      </c>
      <c r="M115" s="37"/>
      <c r="N115" s="37"/>
      <c r="O115" s="38"/>
      <c r="P115" s="37"/>
      <c r="Q115" s="31" t="n">
        <f aca="false">IF(AND(N115="Approved",L115&lt;&gt;""),L115,0)</f>
        <v>0</v>
      </c>
      <c r="R115" s="12"/>
    </row>
    <row r="116" customFormat="false" ht="15" hidden="false" customHeight="false" outlineLevel="0" collapsed="false">
      <c r="A116" s="37"/>
      <c r="B116" s="38"/>
      <c r="C116" s="37"/>
      <c r="D116" s="31" t="str">
        <f aca="false">IF($C116="","",IFERROR(INDEX(Employee_Master!$B$5:$B$104,MATCH($C116,Employee_Master!$A$5:$A$104,0)),"ID not found"))</f>
        <v/>
      </c>
      <c r="E116" s="31" t="str">
        <f aca="false">IF($C116="","",IFERROR(INDEX(Employee_Master!$C$5:$C$104,MATCH($C116,Employee_Master!$A$5:$A$104,0)),"ID not found"))</f>
        <v/>
      </c>
      <c r="F116" s="37"/>
      <c r="G116" s="37"/>
      <c r="H116" s="31" t="str">
        <f aca="false">IF(OR(C116="",G116=""),"",IF(G116&lt;&gt;E116,"Yes","No"))</f>
        <v/>
      </c>
      <c r="I116" s="12"/>
      <c r="J116" s="12"/>
      <c r="K116" s="37"/>
      <c r="L116" s="31" t="str">
        <f aca="false">IF(F116="","",IFERROR(INDEX(Reference_Data!$P$5:$P$14,MATCH(F116,Reference_Data!$O$5:$O$14,0)),0))</f>
        <v/>
      </c>
      <c r="M116" s="37"/>
      <c r="N116" s="37"/>
      <c r="O116" s="38"/>
      <c r="P116" s="37"/>
      <c r="Q116" s="31" t="n">
        <f aca="false">IF(AND(N116="Approved",L116&lt;&gt;""),L116,0)</f>
        <v>0</v>
      </c>
      <c r="R116" s="12"/>
    </row>
    <row r="117" customFormat="false" ht="15" hidden="false" customHeight="false" outlineLevel="0" collapsed="false">
      <c r="A117" s="37"/>
      <c r="B117" s="38"/>
      <c r="C117" s="37"/>
      <c r="D117" s="31" t="str">
        <f aca="false">IF($C117="","",IFERROR(INDEX(Employee_Master!$B$5:$B$104,MATCH($C117,Employee_Master!$A$5:$A$104,0)),"ID not found"))</f>
        <v/>
      </c>
      <c r="E117" s="31" t="str">
        <f aca="false">IF($C117="","",IFERROR(INDEX(Employee_Master!$C$5:$C$104,MATCH($C117,Employee_Master!$A$5:$A$104,0)),"ID not found"))</f>
        <v/>
      </c>
      <c r="F117" s="37"/>
      <c r="G117" s="37"/>
      <c r="H117" s="31" t="str">
        <f aca="false">IF(OR(C117="",G117=""),"",IF(G117&lt;&gt;E117,"Yes","No"))</f>
        <v/>
      </c>
      <c r="I117" s="12"/>
      <c r="J117" s="12"/>
      <c r="K117" s="37"/>
      <c r="L117" s="31" t="str">
        <f aca="false">IF(F117="","",IFERROR(INDEX(Reference_Data!$P$5:$P$14,MATCH(F117,Reference_Data!$O$5:$O$14,0)),0))</f>
        <v/>
      </c>
      <c r="M117" s="37"/>
      <c r="N117" s="37"/>
      <c r="O117" s="38"/>
      <c r="P117" s="37"/>
      <c r="Q117" s="31" t="n">
        <f aca="false">IF(AND(N117="Approved",L117&lt;&gt;""),L117,0)</f>
        <v>0</v>
      </c>
      <c r="R117" s="12"/>
    </row>
    <row r="118" customFormat="false" ht="15" hidden="false" customHeight="false" outlineLevel="0" collapsed="false">
      <c r="A118" s="37"/>
      <c r="B118" s="38"/>
      <c r="C118" s="37"/>
      <c r="D118" s="31" t="str">
        <f aca="false">IF($C118="","",IFERROR(INDEX(Employee_Master!$B$5:$B$104,MATCH($C118,Employee_Master!$A$5:$A$104,0)),"ID not found"))</f>
        <v/>
      </c>
      <c r="E118" s="31" t="str">
        <f aca="false">IF($C118="","",IFERROR(INDEX(Employee_Master!$C$5:$C$104,MATCH($C118,Employee_Master!$A$5:$A$104,0)),"ID not found"))</f>
        <v/>
      </c>
      <c r="F118" s="37"/>
      <c r="G118" s="37"/>
      <c r="H118" s="31" t="str">
        <f aca="false">IF(OR(C118="",G118=""),"",IF(G118&lt;&gt;E118,"Yes","No"))</f>
        <v/>
      </c>
      <c r="I118" s="12"/>
      <c r="J118" s="12"/>
      <c r="K118" s="37"/>
      <c r="L118" s="31" t="str">
        <f aca="false">IF(F118="","",IFERROR(INDEX(Reference_Data!$P$5:$P$14,MATCH(F118,Reference_Data!$O$5:$O$14,0)),0))</f>
        <v/>
      </c>
      <c r="M118" s="37"/>
      <c r="N118" s="37"/>
      <c r="O118" s="38"/>
      <c r="P118" s="37"/>
      <c r="Q118" s="31" t="n">
        <f aca="false">IF(AND(N118="Approved",L118&lt;&gt;""),L118,0)</f>
        <v>0</v>
      </c>
      <c r="R118" s="12"/>
    </row>
    <row r="119" customFormat="false" ht="15" hidden="false" customHeight="false" outlineLevel="0" collapsed="false">
      <c r="A119" s="37"/>
      <c r="B119" s="38"/>
      <c r="C119" s="37"/>
      <c r="D119" s="31" t="str">
        <f aca="false">IF($C119="","",IFERROR(INDEX(Employee_Master!$B$5:$B$104,MATCH($C119,Employee_Master!$A$5:$A$104,0)),"ID not found"))</f>
        <v/>
      </c>
      <c r="E119" s="31" t="str">
        <f aca="false">IF($C119="","",IFERROR(INDEX(Employee_Master!$C$5:$C$104,MATCH($C119,Employee_Master!$A$5:$A$104,0)),"ID not found"))</f>
        <v/>
      </c>
      <c r="F119" s="37"/>
      <c r="G119" s="37"/>
      <c r="H119" s="31" t="str">
        <f aca="false">IF(OR(C119="",G119=""),"",IF(G119&lt;&gt;E119,"Yes","No"))</f>
        <v/>
      </c>
      <c r="I119" s="12"/>
      <c r="J119" s="12"/>
      <c r="K119" s="37"/>
      <c r="L119" s="31" t="str">
        <f aca="false">IF(F119="","",IFERROR(INDEX(Reference_Data!$P$5:$P$14,MATCH(F119,Reference_Data!$O$5:$O$14,0)),0))</f>
        <v/>
      </c>
      <c r="M119" s="37"/>
      <c r="N119" s="37"/>
      <c r="O119" s="38"/>
      <c r="P119" s="37"/>
      <c r="Q119" s="31" t="n">
        <f aca="false">IF(AND(N119="Approved",L119&lt;&gt;""),L119,0)</f>
        <v>0</v>
      </c>
      <c r="R119" s="12"/>
    </row>
    <row r="120" customFormat="false" ht="15" hidden="false" customHeight="false" outlineLevel="0" collapsed="false">
      <c r="A120" s="37"/>
      <c r="B120" s="38"/>
      <c r="C120" s="37"/>
      <c r="D120" s="31" t="str">
        <f aca="false">IF($C120="","",IFERROR(INDEX(Employee_Master!$B$5:$B$104,MATCH($C120,Employee_Master!$A$5:$A$104,0)),"ID not found"))</f>
        <v/>
      </c>
      <c r="E120" s="31" t="str">
        <f aca="false">IF($C120="","",IFERROR(INDEX(Employee_Master!$C$5:$C$104,MATCH($C120,Employee_Master!$A$5:$A$104,0)),"ID not found"))</f>
        <v/>
      </c>
      <c r="F120" s="37"/>
      <c r="G120" s="37"/>
      <c r="H120" s="31" t="str">
        <f aca="false">IF(OR(C120="",G120=""),"",IF(G120&lt;&gt;E120,"Yes","No"))</f>
        <v/>
      </c>
      <c r="I120" s="12"/>
      <c r="J120" s="12"/>
      <c r="K120" s="37"/>
      <c r="L120" s="31" t="str">
        <f aca="false">IF(F120="","",IFERROR(INDEX(Reference_Data!$P$5:$P$14,MATCH(F120,Reference_Data!$O$5:$O$14,0)),0))</f>
        <v/>
      </c>
      <c r="M120" s="37"/>
      <c r="N120" s="37"/>
      <c r="O120" s="38"/>
      <c r="P120" s="37"/>
      <c r="Q120" s="31" t="n">
        <f aca="false">IF(AND(N120="Approved",L120&lt;&gt;""),L120,0)</f>
        <v>0</v>
      </c>
      <c r="R120" s="12"/>
    </row>
    <row r="121" customFormat="false" ht="15" hidden="false" customHeight="false" outlineLevel="0" collapsed="false">
      <c r="A121" s="37"/>
      <c r="B121" s="38"/>
      <c r="C121" s="37"/>
      <c r="D121" s="31" t="str">
        <f aca="false">IF($C121="","",IFERROR(INDEX(Employee_Master!$B$5:$B$104,MATCH($C121,Employee_Master!$A$5:$A$104,0)),"ID not found"))</f>
        <v/>
      </c>
      <c r="E121" s="31" t="str">
        <f aca="false">IF($C121="","",IFERROR(INDEX(Employee_Master!$C$5:$C$104,MATCH($C121,Employee_Master!$A$5:$A$104,0)),"ID not found"))</f>
        <v/>
      </c>
      <c r="F121" s="37"/>
      <c r="G121" s="37"/>
      <c r="H121" s="31" t="str">
        <f aca="false">IF(OR(C121="",G121=""),"",IF(G121&lt;&gt;E121,"Yes","No"))</f>
        <v/>
      </c>
      <c r="I121" s="12"/>
      <c r="J121" s="12"/>
      <c r="K121" s="37"/>
      <c r="L121" s="31" t="str">
        <f aca="false">IF(F121="","",IFERROR(INDEX(Reference_Data!$P$5:$P$14,MATCH(F121,Reference_Data!$O$5:$O$14,0)),0))</f>
        <v/>
      </c>
      <c r="M121" s="37"/>
      <c r="N121" s="37"/>
      <c r="O121" s="38"/>
      <c r="P121" s="37"/>
      <c r="Q121" s="31" t="n">
        <f aca="false">IF(AND(N121="Approved",L121&lt;&gt;""),L121,0)</f>
        <v>0</v>
      </c>
      <c r="R121" s="12"/>
    </row>
    <row r="122" customFormat="false" ht="15" hidden="false" customHeight="false" outlineLevel="0" collapsed="false">
      <c r="A122" s="37"/>
      <c r="B122" s="38"/>
      <c r="C122" s="37"/>
      <c r="D122" s="31" t="str">
        <f aca="false">IF($C122="","",IFERROR(INDEX(Employee_Master!$B$5:$B$104,MATCH($C122,Employee_Master!$A$5:$A$104,0)),"ID not found"))</f>
        <v/>
      </c>
      <c r="E122" s="31" t="str">
        <f aca="false">IF($C122="","",IFERROR(INDEX(Employee_Master!$C$5:$C$104,MATCH($C122,Employee_Master!$A$5:$A$104,0)),"ID not found"))</f>
        <v/>
      </c>
      <c r="F122" s="37"/>
      <c r="G122" s="37"/>
      <c r="H122" s="31" t="str">
        <f aca="false">IF(OR(C122="",G122=""),"",IF(G122&lt;&gt;E122,"Yes","No"))</f>
        <v/>
      </c>
      <c r="I122" s="12"/>
      <c r="J122" s="12"/>
      <c r="K122" s="37"/>
      <c r="L122" s="31" t="str">
        <f aca="false">IF(F122="","",IFERROR(INDEX(Reference_Data!$P$5:$P$14,MATCH(F122,Reference_Data!$O$5:$O$14,0)),0))</f>
        <v/>
      </c>
      <c r="M122" s="37"/>
      <c r="N122" s="37"/>
      <c r="O122" s="38"/>
      <c r="P122" s="37"/>
      <c r="Q122" s="31" t="n">
        <f aca="false">IF(AND(N122="Approved",L122&lt;&gt;""),L122,0)</f>
        <v>0</v>
      </c>
      <c r="R122" s="12"/>
    </row>
    <row r="123" customFormat="false" ht="15" hidden="false" customHeight="false" outlineLevel="0" collapsed="false">
      <c r="A123" s="37"/>
      <c r="B123" s="38"/>
      <c r="C123" s="37"/>
      <c r="D123" s="31" t="str">
        <f aca="false">IF($C123="","",IFERROR(INDEX(Employee_Master!$B$5:$B$104,MATCH($C123,Employee_Master!$A$5:$A$104,0)),"ID not found"))</f>
        <v/>
      </c>
      <c r="E123" s="31" t="str">
        <f aca="false">IF($C123="","",IFERROR(INDEX(Employee_Master!$C$5:$C$104,MATCH($C123,Employee_Master!$A$5:$A$104,0)),"ID not found"))</f>
        <v/>
      </c>
      <c r="F123" s="37"/>
      <c r="G123" s="37"/>
      <c r="H123" s="31" t="str">
        <f aca="false">IF(OR(C123="",G123=""),"",IF(G123&lt;&gt;E123,"Yes","No"))</f>
        <v/>
      </c>
      <c r="I123" s="12"/>
      <c r="J123" s="12"/>
      <c r="K123" s="37"/>
      <c r="L123" s="31" t="str">
        <f aca="false">IF(F123="","",IFERROR(INDEX(Reference_Data!$P$5:$P$14,MATCH(F123,Reference_Data!$O$5:$O$14,0)),0))</f>
        <v/>
      </c>
      <c r="M123" s="37"/>
      <c r="N123" s="37"/>
      <c r="O123" s="38"/>
      <c r="P123" s="37"/>
      <c r="Q123" s="31" t="n">
        <f aca="false">IF(AND(N123="Approved",L123&lt;&gt;""),L123,0)</f>
        <v>0</v>
      </c>
      <c r="R123" s="12"/>
    </row>
    <row r="124" customFormat="false" ht="15" hidden="false" customHeight="false" outlineLevel="0" collapsed="false">
      <c r="A124" s="37"/>
      <c r="B124" s="38"/>
      <c r="C124" s="37"/>
      <c r="D124" s="31" t="str">
        <f aca="false">IF($C124="","",IFERROR(INDEX(Employee_Master!$B$5:$B$104,MATCH($C124,Employee_Master!$A$5:$A$104,0)),"ID not found"))</f>
        <v/>
      </c>
      <c r="E124" s="31" t="str">
        <f aca="false">IF($C124="","",IFERROR(INDEX(Employee_Master!$C$5:$C$104,MATCH($C124,Employee_Master!$A$5:$A$104,0)),"ID not found"))</f>
        <v/>
      </c>
      <c r="F124" s="37"/>
      <c r="G124" s="37"/>
      <c r="H124" s="31" t="str">
        <f aca="false">IF(OR(C124="",G124=""),"",IF(G124&lt;&gt;E124,"Yes","No"))</f>
        <v/>
      </c>
      <c r="I124" s="12"/>
      <c r="J124" s="12"/>
      <c r="K124" s="37"/>
      <c r="L124" s="31" t="str">
        <f aca="false">IF(F124="","",IFERROR(INDEX(Reference_Data!$P$5:$P$14,MATCH(F124,Reference_Data!$O$5:$O$14,0)),0))</f>
        <v/>
      </c>
      <c r="M124" s="37"/>
      <c r="N124" s="37"/>
      <c r="O124" s="38"/>
      <c r="P124" s="37"/>
      <c r="Q124" s="31" t="n">
        <f aca="false">IF(AND(N124="Approved",L124&lt;&gt;""),L124,0)</f>
        <v>0</v>
      </c>
      <c r="R124" s="12"/>
    </row>
    <row r="125" customFormat="false" ht="15" hidden="false" customHeight="false" outlineLevel="0" collapsed="false">
      <c r="A125" s="37"/>
      <c r="B125" s="38"/>
      <c r="C125" s="37"/>
      <c r="D125" s="31" t="str">
        <f aca="false">IF($C125="","",IFERROR(INDEX(Employee_Master!$B$5:$B$104,MATCH($C125,Employee_Master!$A$5:$A$104,0)),"ID not found"))</f>
        <v/>
      </c>
      <c r="E125" s="31" t="str">
        <f aca="false">IF($C125="","",IFERROR(INDEX(Employee_Master!$C$5:$C$104,MATCH($C125,Employee_Master!$A$5:$A$104,0)),"ID not found"))</f>
        <v/>
      </c>
      <c r="F125" s="37"/>
      <c r="G125" s="37"/>
      <c r="H125" s="31" t="str">
        <f aca="false">IF(OR(C125="",G125=""),"",IF(G125&lt;&gt;E125,"Yes","No"))</f>
        <v/>
      </c>
      <c r="I125" s="12"/>
      <c r="J125" s="12"/>
      <c r="K125" s="37"/>
      <c r="L125" s="31" t="str">
        <f aca="false">IF(F125="","",IFERROR(INDEX(Reference_Data!$P$5:$P$14,MATCH(F125,Reference_Data!$O$5:$O$14,0)),0))</f>
        <v/>
      </c>
      <c r="M125" s="37"/>
      <c r="N125" s="37"/>
      <c r="O125" s="38"/>
      <c r="P125" s="37"/>
      <c r="Q125" s="31" t="n">
        <f aca="false">IF(AND(N125="Approved",L125&lt;&gt;""),L125,0)</f>
        <v>0</v>
      </c>
      <c r="R125" s="12"/>
    </row>
    <row r="126" customFormat="false" ht="15" hidden="false" customHeight="false" outlineLevel="0" collapsed="false">
      <c r="A126" s="37"/>
      <c r="B126" s="38"/>
      <c r="C126" s="37"/>
      <c r="D126" s="31" t="str">
        <f aca="false">IF($C126="","",IFERROR(INDEX(Employee_Master!$B$5:$B$104,MATCH($C126,Employee_Master!$A$5:$A$104,0)),"ID not found"))</f>
        <v/>
      </c>
      <c r="E126" s="31" t="str">
        <f aca="false">IF($C126="","",IFERROR(INDEX(Employee_Master!$C$5:$C$104,MATCH($C126,Employee_Master!$A$5:$A$104,0)),"ID not found"))</f>
        <v/>
      </c>
      <c r="F126" s="37"/>
      <c r="G126" s="37"/>
      <c r="H126" s="31" t="str">
        <f aca="false">IF(OR(C126="",G126=""),"",IF(G126&lt;&gt;E126,"Yes","No"))</f>
        <v/>
      </c>
      <c r="I126" s="12"/>
      <c r="J126" s="12"/>
      <c r="K126" s="37"/>
      <c r="L126" s="31" t="str">
        <f aca="false">IF(F126="","",IFERROR(INDEX(Reference_Data!$P$5:$P$14,MATCH(F126,Reference_Data!$O$5:$O$14,0)),0))</f>
        <v/>
      </c>
      <c r="M126" s="37"/>
      <c r="N126" s="37"/>
      <c r="O126" s="38"/>
      <c r="P126" s="37"/>
      <c r="Q126" s="31" t="n">
        <f aca="false">IF(AND(N126="Approved",L126&lt;&gt;""),L126,0)</f>
        <v>0</v>
      </c>
      <c r="R126" s="12"/>
    </row>
    <row r="127" customFormat="false" ht="15" hidden="false" customHeight="false" outlineLevel="0" collapsed="false">
      <c r="A127" s="37"/>
      <c r="B127" s="38"/>
      <c r="C127" s="37"/>
      <c r="D127" s="31" t="str">
        <f aca="false">IF($C127="","",IFERROR(INDEX(Employee_Master!$B$5:$B$104,MATCH($C127,Employee_Master!$A$5:$A$104,0)),"ID not found"))</f>
        <v/>
      </c>
      <c r="E127" s="31" t="str">
        <f aca="false">IF($C127="","",IFERROR(INDEX(Employee_Master!$C$5:$C$104,MATCH($C127,Employee_Master!$A$5:$A$104,0)),"ID not found"))</f>
        <v/>
      </c>
      <c r="F127" s="37"/>
      <c r="G127" s="37"/>
      <c r="H127" s="31" t="str">
        <f aca="false">IF(OR(C127="",G127=""),"",IF(G127&lt;&gt;E127,"Yes","No"))</f>
        <v/>
      </c>
      <c r="I127" s="12"/>
      <c r="J127" s="12"/>
      <c r="K127" s="37"/>
      <c r="L127" s="31" t="str">
        <f aca="false">IF(F127="","",IFERROR(INDEX(Reference_Data!$P$5:$P$14,MATCH(F127,Reference_Data!$O$5:$O$14,0)),0))</f>
        <v/>
      </c>
      <c r="M127" s="37"/>
      <c r="N127" s="37"/>
      <c r="O127" s="38"/>
      <c r="P127" s="37"/>
      <c r="Q127" s="31" t="n">
        <f aca="false">IF(AND(N127="Approved",L127&lt;&gt;""),L127,0)</f>
        <v>0</v>
      </c>
      <c r="R127" s="12"/>
    </row>
    <row r="128" customFormat="false" ht="15" hidden="false" customHeight="false" outlineLevel="0" collapsed="false">
      <c r="A128" s="37"/>
      <c r="B128" s="38"/>
      <c r="C128" s="37"/>
      <c r="D128" s="31" t="str">
        <f aca="false">IF($C128="","",IFERROR(INDEX(Employee_Master!$B$5:$B$104,MATCH($C128,Employee_Master!$A$5:$A$104,0)),"ID not found"))</f>
        <v/>
      </c>
      <c r="E128" s="31" t="str">
        <f aca="false">IF($C128="","",IFERROR(INDEX(Employee_Master!$C$5:$C$104,MATCH($C128,Employee_Master!$A$5:$A$104,0)),"ID not found"))</f>
        <v/>
      </c>
      <c r="F128" s="37"/>
      <c r="G128" s="37"/>
      <c r="H128" s="31" t="str">
        <f aca="false">IF(OR(C128="",G128=""),"",IF(G128&lt;&gt;E128,"Yes","No"))</f>
        <v/>
      </c>
      <c r="I128" s="12"/>
      <c r="J128" s="12"/>
      <c r="K128" s="37"/>
      <c r="L128" s="31" t="str">
        <f aca="false">IF(F128="","",IFERROR(INDEX(Reference_Data!$P$5:$P$14,MATCH(F128,Reference_Data!$O$5:$O$14,0)),0))</f>
        <v/>
      </c>
      <c r="M128" s="37"/>
      <c r="N128" s="37"/>
      <c r="O128" s="38"/>
      <c r="P128" s="37"/>
      <c r="Q128" s="31" t="n">
        <f aca="false">IF(AND(N128="Approved",L128&lt;&gt;""),L128,0)</f>
        <v>0</v>
      </c>
      <c r="R128" s="12"/>
    </row>
    <row r="129" customFormat="false" ht="15" hidden="false" customHeight="false" outlineLevel="0" collapsed="false">
      <c r="A129" s="37"/>
      <c r="B129" s="38"/>
      <c r="C129" s="37"/>
      <c r="D129" s="31" t="str">
        <f aca="false">IF($C129="","",IFERROR(INDEX(Employee_Master!$B$5:$B$104,MATCH($C129,Employee_Master!$A$5:$A$104,0)),"ID not found"))</f>
        <v/>
      </c>
      <c r="E129" s="31" t="str">
        <f aca="false">IF($C129="","",IFERROR(INDEX(Employee_Master!$C$5:$C$104,MATCH($C129,Employee_Master!$A$5:$A$104,0)),"ID not found"))</f>
        <v/>
      </c>
      <c r="F129" s="37"/>
      <c r="G129" s="37"/>
      <c r="H129" s="31" t="str">
        <f aca="false">IF(OR(C129="",G129=""),"",IF(G129&lt;&gt;E129,"Yes","No"))</f>
        <v/>
      </c>
      <c r="I129" s="12"/>
      <c r="J129" s="12"/>
      <c r="K129" s="37"/>
      <c r="L129" s="31" t="str">
        <f aca="false">IF(F129="","",IFERROR(INDEX(Reference_Data!$P$5:$P$14,MATCH(F129,Reference_Data!$O$5:$O$14,0)),0))</f>
        <v/>
      </c>
      <c r="M129" s="37"/>
      <c r="N129" s="37"/>
      <c r="O129" s="38"/>
      <c r="P129" s="37"/>
      <c r="Q129" s="31" t="n">
        <f aca="false">IF(AND(N129="Approved",L129&lt;&gt;""),L129,0)</f>
        <v>0</v>
      </c>
      <c r="R129" s="12"/>
    </row>
    <row r="130" customFormat="false" ht="15" hidden="false" customHeight="false" outlineLevel="0" collapsed="false">
      <c r="A130" s="37"/>
      <c r="B130" s="38"/>
      <c r="C130" s="37"/>
      <c r="D130" s="31" t="str">
        <f aca="false">IF($C130="","",IFERROR(INDEX(Employee_Master!$B$5:$B$104,MATCH($C130,Employee_Master!$A$5:$A$104,0)),"ID not found"))</f>
        <v/>
      </c>
      <c r="E130" s="31" t="str">
        <f aca="false">IF($C130="","",IFERROR(INDEX(Employee_Master!$C$5:$C$104,MATCH($C130,Employee_Master!$A$5:$A$104,0)),"ID not found"))</f>
        <v/>
      </c>
      <c r="F130" s="37"/>
      <c r="G130" s="37"/>
      <c r="H130" s="31" t="str">
        <f aca="false">IF(OR(C130="",G130=""),"",IF(G130&lt;&gt;E130,"Yes","No"))</f>
        <v/>
      </c>
      <c r="I130" s="12"/>
      <c r="J130" s="12"/>
      <c r="K130" s="37"/>
      <c r="L130" s="31" t="str">
        <f aca="false">IF(F130="","",IFERROR(INDEX(Reference_Data!$P$5:$P$14,MATCH(F130,Reference_Data!$O$5:$O$14,0)),0))</f>
        <v/>
      </c>
      <c r="M130" s="37"/>
      <c r="N130" s="37"/>
      <c r="O130" s="38"/>
      <c r="P130" s="37"/>
      <c r="Q130" s="31" t="n">
        <f aca="false">IF(AND(N130="Approved",L130&lt;&gt;""),L130,0)</f>
        <v>0</v>
      </c>
      <c r="R130" s="12"/>
    </row>
    <row r="131" customFormat="false" ht="15" hidden="false" customHeight="false" outlineLevel="0" collapsed="false">
      <c r="A131" s="37"/>
      <c r="B131" s="38"/>
      <c r="C131" s="37"/>
      <c r="D131" s="31" t="str">
        <f aca="false">IF($C131="","",IFERROR(INDEX(Employee_Master!$B$5:$B$104,MATCH($C131,Employee_Master!$A$5:$A$104,0)),"ID not found"))</f>
        <v/>
      </c>
      <c r="E131" s="31" t="str">
        <f aca="false">IF($C131="","",IFERROR(INDEX(Employee_Master!$C$5:$C$104,MATCH($C131,Employee_Master!$A$5:$A$104,0)),"ID not found"))</f>
        <v/>
      </c>
      <c r="F131" s="37"/>
      <c r="G131" s="37"/>
      <c r="H131" s="31" t="str">
        <f aca="false">IF(OR(C131="",G131=""),"",IF(G131&lt;&gt;E131,"Yes","No"))</f>
        <v/>
      </c>
      <c r="I131" s="12"/>
      <c r="J131" s="12"/>
      <c r="K131" s="37"/>
      <c r="L131" s="31" t="str">
        <f aca="false">IF(F131="","",IFERROR(INDEX(Reference_Data!$P$5:$P$14,MATCH(F131,Reference_Data!$O$5:$O$14,0)),0))</f>
        <v/>
      </c>
      <c r="M131" s="37"/>
      <c r="N131" s="37"/>
      <c r="O131" s="38"/>
      <c r="P131" s="37"/>
      <c r="Q131" s="31" t="n">
        <f aca="false">IF(AND(N131="Approved",L131&lt;&gt;""),L131,0)</f>
        <v>0</v>
      </c>
      <c r="R131" s="12"/>
    </row>
    <row r="132" customFormat="false" ht="15" hidden="false" customHeight="false" outlineLevel="0" collapsed="false">
      <c r="A132" s="37"/>
      <c r="B132" s="38"/>
      <c r="C132" s="37"/>
      <c r="D132" s="31" t="str">
        <f aca="false">IF($C132="","",IFERROR(INDEX(Employee_Master!$B$5:$B$104,MATCH($C132,Employee_Master!$A$5:$A$104,0)),"ID not found"))</f>
        <v/>
      </c>
      <c r="E132" s="31" t="str">
        <f aca="false">IF($C132="","",IFERROR(INDEX(Employee_Master!$C$5:$C$104,MATCH($C132,Employee_Master!$A$5:$A$104,0)),"ID not found"))</f>
        <v/>
      </c>
      <c r="F132" s="37"/>
      <c r="G132" s="37"/>
      <c r="H132" s="31" t="str">
        <f aca="false">IF(OR(C132="",G132=""),"",IF(G132&lt;&gt;E132,"Yes","No"))</f>
        <v/>
      </c>
      <c r="I132" s="12"/>
      <c r="J132" s="12"/>
      <c r="K132" s="37"/>
      <c r="L132" s="31" t="str">
        <f aca="false">IF(F132="","",IFERROR(INDEX(Reference_Data!$P$5:$P$14,MATCH(F132,Reference_Data!$O$5:$O$14,0)),0))</f>
        <v/>
      </c>
      <c r="M132" s="37"/>
      <c r="N132" s="37"/>
      <c r="O132" s="38"/>
      <c r="P132" s="37"/>
      <c r="Q132" s="31" t="n">
        <f aca="false">IF(AND(N132="Approved",L132&lt;&gt;""),L132,0)</f>
        <v>0</v>
      </c>
      <c r="R132" s="12"/>
    </row>
    <row r="133" customFormat="false" ht="15" hidden="false" customHeight="false" outlineLevel="0" collapsed="false">
      <c r="A133" s="37"/>
      <c r="B133" s="38"/>
      <c r="C133" s="37"/>
      <c r="D133" s="31" t="str">
        <f aca="false">IF($C133="","",IFERROR(INDEX(Employee_Master!$B$5:$B$104,MATCH($C133,Employee_Master!$A$5:$A$104,0)),"ID not found"))</f>
        <v/>
      </c>
      <c r="E133" s="31" t="str">
        <f aca="false">IF($C133="","",IFERROR(INDEX(Employee_Master!$C$5:$C$104,MATCH($C133,Employee_Master!$A$5:$A$104,0)),"ID not found"))</f>
        <v/>
      </c>
      <c r="F133" s="37"/>
      <c r="G133" s="37"/>
      <c r="H133" s="31" t="str">
        <f aca="false">IF(OR(C133="",G133=""),"",IF(G133&lt;&gt;E133,"Yes","No"))</f>
        <v/>
      </c>
      <c r="I133" s="12"/>
      <c r="J133" s="12"/>
      <c r="K133" s="37"/>
      <c r="L133" s="31" t="str">
        <f aca="false">IF(F133="","",IFERROR(INDEX(Reference_Data!$P$5:$P$14,MATCH(F133,Reference_Data!$O$5:$O$14,0)),0))</f>
        <v/>
      </c>
      <c r="M133" s="37"/>
      <c r="N133" s="37"/>
      <c r="O133" s="38"/>
      <c r="P133" s="37"/>
      <c r="Q133" s="31" t="n">
        <f aca="false">IF(AND(N133="Approved",L133&lt;&gt;""),L133,0)</f>
        <v>0</v>
      </c>
      <c r="R133" s="12"/>
    </row>
    <row r="134" customFormat="false" ht="15" hidden="false" customHeight="false" outlineLevel="0" collapsed="false">
      <c r="A134" s="37"/>
      <c r="B134" s="38"/>
      <c r="C134" s="37"/>
      <c r="D134" s="31" t="str">
        <f aca="false">IF($C134="","",IFERROR(INDEX(Employee_Master!$B$5:$B$104,MATCH($C134,Employee_Master!$A$5:$A$104,0)),"ID not found"))</f>
        <v/>
      </c>
      <c r="E134" s="31" t="str">
        <f aca="false">IF($C134="","",IFERROR(INDEX(Employee_Master!$C$5:$C$104,MATCH($C134,Employee_Master!$A$5:$A$104,0)),"ID not found"))</f>
        <v/>
      </c>
      <c r="F134" s="37"/>
      <c r="G134" s="37"/>
      <c r="H134" s="31" t="str">
        <f aca="false">IF(OR(C134="",G134=""),"",IF(G134&lt;&gt;E134,"Yes","No"))</f>
        <v/>
      </c>
      <c r="I134" s="12"/>
      <c r="J134" s="12"/>
      <c r="K134" s="37"/>
      <c r="L134" s="31" t="str">
        <f aca="false">IF(F134="","",IFERROR(INDEX(Reference_Data!$P$5:$P$14,MATCH(F134,Reference_Data!$O$5:$O$14,0)),0))</f>
        <v/>
      </c>
      <c r="M134" s="37"/>
      <c r="N134" s="37"/>
      <c r="O134" s="38"/>
      <c r="P134" s="37"/>
      <c r="Q134" s="31" t="n">
        <f aca="false">IF(AND(N134="Approved",L134&lt;&gt;""),L134,0)</f>
        <v>0</v>
      </c>
      <c r="R134" s="12"/>
    </row>
    <row r="135" customFormat="false" ht="15" hidden="false" customHeight="false" outlineLevel="0" collapsed="false">
      <c r="A135" s="37"/>
      <c r="B135" s="38"/>
      <c r="C135" s="37"/>
      <c r="D135" s="31" t="str">
        <f aca="false">IF($C135="","",IFERROR(INDEX(Employee_Master!$B$5:$B$104,MATCH($C135,Employee_Master!$A$5:$A$104,0)),"ID not found"))</f>
        <v/>
      </c>
      <c r="E135" s="31" t="str">
        <f aca="false">IF($C135="","",IFERROR(INDEX(Employee_Master!$C$5:$C$104,MATCH($C135,Employee_Master!$A$5:$A$104,0)),"ID not found"))</f>
        <v/>
      </c>
      <c r="F135" s="37"/>
      <c r="G135" s="37"/>
      <c r="H135" s="31" t="str">
        <f aca="false">IF(OR(C135="",G135=""),"",IF(G135&lt;&gt;E135,"Yes","No"))</f>
        <v/>
      </c>
      <c r="I135" s="12"/>
      <c r="J135" s="12"/>
      <c r="K135" s="37"/>
      <c r="L135" s="31" t="str">
        <f aca="false">IF(F135="","",IFERROR(INDEX(Reference_Data!$P$5:$P$14,MATCH(F135,Reference_Data!$O$5:$O$14,0)),0))</f>
        <v/>
      </c>
      <c r="M135" s="37"/>
      <c r="N135" s="37"/>
      <c r="O135" s="38"/>
      <c r="P135" s="37"/>
      <c r="Q135" s="31" t="n">
        <f aca="false">IF(AND(N135="Approved",L135&lt;&gt;""),L135,0)</f>
        <v>0</v>
      </c>
      <c r="R135" s="12"/>
    </row>
    <row r="136" customFormat="false" ht="15" hidden="false" customHeight="false" outlineLevel="0" collapsed="false">
      <c r="A136" s="37"/>
      <c r="B136" s="38"/>
      <c r="C136" s="37"/>
      <c r="D136" s="31" t="str">
        <f aca="false">IF($C136="","",IFERROR(INDEX(Employee_Master!$B$5:$B$104,MATCH($C136,Employee_Master!$A$5:$A$104,0)),"ID not found"))</f>
        <v/>
      </c>
      <c r="E136" s="31" t="str">
        <f aca="false">IF($C136="","",IFERROR(INDEX(Employee_Master!$C$5:$C$104,MATCH($C136,Employee_Master!$A$5:$A$104,0)),"ID not found"))</f>
        <v/>
      </c>
      <c r="F136" s="37"/>
      <c r="G136" s="37"/>
      <c r="H136" s="31" t="str">
        <f aca="false">IF(OR(C136="",G136=""),"",IF(G136&lt;&gt;E136,"Yes","No"))</f>
        <v/>
      </c>
      <c r="I136" s="12"/>
      <c r="J136" s="12"/>
      <c r="K136" s="37"/>
      <c r="L136" s="31" t="str">
        <f aca="false">IF(F136="","",IFERROR(INDEX(Reference_Data!$P$5:$P$14,MATCH(F136,Reference_Data!$O$5:$O$14,0)),0))</f>
        <v/>
      </c>
      <c r="M136" s="37"/>
      <c r="N136" s="37"/>
      <c r="O136" s="38"/>
      <c r="P136" s="37"/>
      <c r="Q136" s="31" t="n">
        <f aca="false">IF(AND(N136="Approved",L136&lt;&gt;""),L136,0)</f>
        <v>0</v>
      </c>
      <c r="R136" s="12"/>
    </row>
    <row r="137" customFormat="false" ht="15" hidden="false" customHeight="false" outlineLevel="0" collapsed="false">
      <c r="A137" s="37"/>
      <c r="B137" s="38"/>
      <c r="C137" s="37"/>
      <c r="D137" s="31" t="str">
        <f aca="false">IF($C137="","",IFERROR(INDEX(Employee_Master!$B$5:$B$104,MATCH($C137,Employee_Master!$A$5:$A$104,0)),"ID not found"))</f>
        <v/>
      </c>
      <c r="E137" s="31" t="str">
        <f aca="false">IF($C137="","",IFERROR(INDEX(Employee_Master!$C$5:$C$104,MATCH($C137,Employee_Master!$A$5:$A$104,0)),"ID not found"))</f>
        <v/>
      </c>
      <c r="F137" s="37"/>
      <c r="G137" s="37"/>
      <c r="H137" s="31" t="str">
        <f aca="false">IF(OR(C137="",G137=""),"",IF(G137&lt;&gt;E137,"Yes","No"))</f>
        <v/>
      </c>
      <c r="I137" s="12"/>
      <c r="J137" s="12"/>
      <c r="K137" s="37"/>
      <c r="L137" s="31" t="str">
        <f aca="false">IF(F137="","",IFERROR(INDEX(Reference_Data!$P$5:$P$14,MATCH(F137,Reference_Data!$O$5:$O$14,0)),0))</f>
        <v/>
      </c>
      <c r="M137" s="37"/>
      <c r="N137" s="37"/>
      <c r="O137" s="38"/>
      <c r="P137" s="37"/>
      <c r="Q137" s="31" t="n">
        <f aca="false">IF(AND(N137="Approved",L137&lt;&gt;""),L137,0)</f>
        <v>0</v>
      </c>
      <c r="R137" s="12"/>
    </row>
    <row r="138" customFormat="false" ht="15" hidden="false" customHeight="false" outlineLevel="0" collapsed="false">
      <c r="A138" s="37"/>
      <c r="B138" s="38"/>
      <c r="C138" s="37"/>
      <c r="D138" s="31" t="str">
        <f aca="false">IF($C138="","",IFERROR(INDEX(Employee_Master!$B$5:$B$104,MATCH($C138,Employee_Master!$A$5:$A$104,0)),"ID not found"))</f>
        <v/>
      </c>
      <c r="E138" s="31" t="str">
        <f aca="false">IF($C138="","",IFERROR(INDEX(Employee_Master!$C$5:$C$104,MATCH($C138,Employee_Master!$A$5:$A$104,0)),"ID not found"))</f>
        <v/>
      </c>
      <c r="F138" s="37"/>
      <c r="G138" s="37"/>
      <c r="H138" s="31" t="str">
        <f aca="false">IF(OR(C138="",G138=""),"",IF(G138&lt;&gt;E138,"Yes","No"))</f>
        <v/>
      </c>
      <c r="I138" s="12"/>
      <c r="J138" s="12"/>
      <c r="K138" s="37"/>
      <c r="L138" s="31" t="str">
        <f aca="false">IF(F138="","",IFERROR(INDEX(Reference_Data!$P$5:$P$14,MATCH(F138,Reference_Data!$O$5:$O$14,0)),0))</f>
        <v/>
      </c>
      <c r="M138" s="37"/>
      <c r="N138" s="37"/>
      <c r="O138" s="38"/>
      <c r="P138" s="37"/>
      <c r="Q138" s="31" t="n">
        <f aca="false">IF(AND(N138="Approved",L138&lt;&gt;""),L138,0)</f>
        <v>0</v>
      </c>
      <c r="R138" s="12"/>
    </row>
    <row r="139" customFormat="false" ht="15" hidden="false" customHeight="false" outlineLevel="0" collapsed="false">
      <c r="A139" s="37"/>
      <c r="B139" s="38"/>
      <c r="C139" s="37"/>
      <c r="D139" s="31" t="str">
        <f aca="false">IF($C139="","",IFERROR(INDEX(Employee_Master!$B$5:$B$104,MATCH($C139,Employee_Master!$A$5:$A$104,0)),"ID not found"))</f>
        <v/>
      </c>
      <c r="E139" s="31" t="str">
        <f aca="false">IF($C139="","",IFERROR(INDEX(Employee_Master!$C$5:$C$104,MATCH($C139,Employee_Master!$A$5:$A$104,0)),"ID not found"))</f>
        <v/>
      </c>
      <c r="F139" s="37"/>
      <c r="G139" s="37"/>
      <c r="H139" s="31" t="str">
        <f aca="false">IF(OR(C139="",G139=""),"",IF(G139&lt;&gt;E139,"Yes","No"))</f>
        <v/>
      </c>
      <c r="I139" s="12"/>
      <c r="J139" s="12"/>
      <c r="K139" s="37"/>
      <c r="L139" s="31" t="str">
        <f aca="false">IF(F139="","",IFERROR(INDEX(Reference_Data!$P$5:$P$14,MATCH(F139,Reference_Data!$O$5:$O$14,0)),0))</f>
        <v/>
      </c>
      <c r="M139" s="37"/>
      <c r="N139" s="37"/>
      <c r="O139" s="38"/>
      <c r="P139" s="37"/>
      <c r="Q139" s="31" t="n">
        <f aca="false">IF(AND(N139="Approved",L139&lt;&gt;""),L139,0)</f>
        <v>0</v>
      </c>
      <c r="R139" s="12"/>
    </row>
    <row r="140" customFormat="false" ht="15" hidden="false" customHeight="false" outlineLevel="0" collapsed="false">
      <c r="A140" s="37"/>
      <c r="B140" s="38"/>
      <c r="C140" s="37"/>
      <c r="D140" s="31" t="str">
        <f aca="false">IF($C140="","",IFERROR(INDEX(Employee_Master!$B$5:$B$104,MATCH($C140,Employee_Master!$A$5:$A$104,0)),"ID not found"))</f>
        <v/>
      </c>
      <c r="E140" s="31" t="str">
        <f aca="false">IF($C140="","",IFERROR(INDEX(Employee_Master!$C$5:$C$104,MATCH($C140,Employee_Master!$A$5:$A$104,0)),"ID not found"))</f>
        <v/>
      </c>
      <c r="F140" s="37"/>
      <c r="G140" s="37"/>
      <c r="H140" s="31" t="str">
        <f aca="false">IF(OR(C140="",G140=""),"",IF(G140&lt;&gt;E140,"Yes","No"))</f>
        <v/>
      </c>
      <c r="I140" s="12"/>
      <c r="J140" s="12"/>
      <c r="K140" s="37"/>
      <c r="L140" s="31" t="str">
        <f aca="false">IF(F140="","",IFERROR(INDEX(Reference_Data!$P$5:$P$14,MATCH(F140,Reference_Data!$O$5:$O$14,0)),0))</f>
        <v/>
      </c>
      <c r="M140" s="37"/>
      <c r="N140" s="37"/>
      <c r="O140" s="38"/>
      <c r="P140" s="37"/>
      <c r="Q140" s="31" t="n">
        <f aca="false">IF(AND(N140="Approved",L140&lt;&gt;""),L140,0)</f>
        <v>0</v>
      </c>
      <c r="R140" s="12"/>
    </row>
    <row r="141" customFormat="false" ht="15" hidden="false" customHeight="false" outlineLevel="0" collapsed="false">
      <c r="A141" s="37"/>
      <c r="B141" s="38"/>
      <c r="C141" s="37"/>
      <c r="D141" s="31" t="str">
        <f aca="false">IF($C141="","",IFERROR(INDEX(Employee_Master!$B$5:$B$104,MATCH($C141,Employee_Master!$A$5:$A$104,0)),"ID not found"))</f>
        <v/>
      </c>
      <c r="E141" s="31" t="str">
        <f aca="false">IF($C141="","",IFERROR(INDEX(Employee_Master!$C$5:$C$104,MATCH($C141,Employee_Master!$A$5:$A$104,0)),"ID not found"))</f>
        <v/>
      </c>
      <c r="F141" s="37"/>
      <c r="G141" s="37"/>
      <c r="H141" s="31" t="str">
        <f aca="false">IF(OR(C141="",G141=""),"",IF(G141&lt;&gt;E141,"Yes","No"))</f>
        <v/>
      </c>
      <c r="I141" s="12"/>
      <c r="J141" s="12"/>
      <c r="K141" s="37"/>
      <c r="L141" s="31" t="str">
        <f aca="false">IF(F141="","",IFERROR(INDEX(Reference_Data!$P$5:$P$14,MATCH(F141,Reference_Data!$O$5:$O$14,0)),0))</f>
        <v/>
      </c>
      <c r="M141" s="37"/>
      <c r="N141" s="37"/>
      <c r="O141" s="38"/>
      <c r="P141" s="37"/>
      <c r="Q141" s="31" t="n">
        <f aca="false">IF(AND(N141="Approved",L141&lt;&gt;""),L141,0)</f>
        <v>0</v>
      </c>
      <c r="R141" s="12"/>
    </row>
    <row r="142" customFormat="false" ht="15" hidden="false" customHeight="false" outlineLevel="0" collapsed="false">
      <c r="A142" s="37"/>
      <c r="B142" s="38"/>
      <c r="C142" s="37"/>
      <c r="D142" s="31" t="str">
        <f aca="false">IF($C142="","",IFERROR(INDEX(Employee_Master!$B$5:$B$104,MATCH($C142,Employee_Master!$A$5:$A$104,0)),"ID not found"))</f>
        <v/>
      </c>
      <c r="E142" s="31" t="str">
        <f aca="false">IF($C142="","",IFERROR(INDEX(Employee_Master!$C$5:$C$104,MATCH($C142,Employee_Master!$A$5:$A$104,0)),"ID not found"))</f>
        <v/>
      </c>
      <c r="F142" s="37"/>
      <c r="G142" s="37"/>
      <c r="H142" s="31" t="str">
        <f aca="false">IF(OR(C142="",G142=""),"",IF(G142&lt;&gt;E142,"Yes","No"))</f>
        <v/>
      </c>
      <c r="I142" s="12"/>
      <c r="J142" s="12"/>
      <c r="K142" s="37"/>
      <c r="L142" s="31" t="str">
        <f aca="false">IF(F142="","",IFERROR(INDEX(Reference_Data!$P$5:$P$14,MATCH(F142,Reference_Data!$O$5:$O$14,0)),0))</f>
        <v/>
      </c>
      <c r="M142" s="37"/>
      <c r="N142" s="37"/>
      <c r="O142" s="38"/>
      <c r="P142" s="37"/>
      <c r="Q142" s="31" t="n">
        <f aca="false">IF(AND(N142="Approved",L142&lt;&gt;""),L142,0)</f>
        <v>0</v>
      </c>
      <c r="R142" s="12"/>
    </row>
    <row r="143" customFormat="false" ht="15" hidden="false" customHeight="false" outlineLevel="0" collapsed="false">
      <c r="A143" s="37"/>
      <c r="B143" s="38"/>
      <c r="C143" s="37"/>
      <c r="D143" s="31" t="str">
        <f aca="false">IF($C143="","",IFERROR(INDEX(Employee_Master!$B$5:$B$104,MATCH($C143,Employee_Master!$A$5:$A$104,0)),"ID not found"))</f>
        <v/>
      </c>
      <c r="E143" s="31" t="str">
        <f aca="false">IF($C143="","",IFERROR(INDEX(Employee_Master!$C$5:$C$104,MATCH($C143,Employee_Master!$A$5:$A$104,0)),"ID not found"))</f>
        <v/>
      </c>
      <c r="F143" s="37"/>
      <c r="G143" s="37"/>
      <c r="H143" s="31" t="str">
        <f aca="false">IF(OR(C143="",G143=""),"",IF(G143&lt;&gt;E143,"Yes","No"))</f>
        <v/>
      </c>
      <c r="I143" s="12"/>
      <c r="J143" s="12"/>
      <c r="K143" s="37"/>
      <c r="L143" s="31" t="str">
        <f aca="false">IF(F143="","",IFERROR(INDEX(Reference_Data!$P$5:$P$14,MATCH(F143,Reference_Data!$O$5:$O$14,0)),0))</f>
        <v/>
      </c>
      <c r="M143" s="37"/>
      <c r="N143" s="37"/>
      <c r="O143" s="38"/>
      <c r="P143" s="37"/>
      <c r="Q143" s="31" t="n">
        <f aca="false">IF(AND(N143="Approved",L143&lt;&gt;""),L143,0)</f>
        <v>0</v>
      </c>
      <c r="R143" s="12"/>
    </row>
    <row r="144" customFormat="false" ht="15" hidden="false" customHeight="false" outlineLevel="0" collapsed="false">
      <c r="A144" s="37"/>
      <c r="B144" s="38"/>
      <c r="C144" s="37"/>
      <c r="D144" s="31" t="str">
        <f aca="false">IF($C144="","",IFERROR(INDEX(Employee_Master!$B$5:$B$104,MATCH($C144,Employee_Master!$A$5:$A$104,0)),"ID not found"))</f>
        <v/>
      </c>
      <c r="E144" s="31" t="str">
        <f aca="false">IF($C144="","",IFERROR(INDEX(Employee_Master!$C$5:$C$104,MATCH($C144,Employee_Master!$A$5:$A$104,0)),"ID not found"))</f>
        <v/>
      </c>
      <c r="F144" s="37"/>
      <c r="G144" s="37"/>
      <c r="H144" s="31" t="str">
        <f aca="false">IF(OR(C144="",G144=""),"",IF(G144&lt;&gt;E144,"Yes","No"))</f>
        <v/>
      </c>
      <c r="I144" s="12"/>
      <c r="J144" s="12"/>
      <c r="K144" s="37"/>
      <c r="L144" s="31" t="str">
        <f aca="false">IF(F144="","",IFERROR(INDEX(Reference_Data!$P$5:$P$14,MATCH(F144,Reference_Data!$O$5:$O$14,0)),0))</f>
        <v/>
      </c>
      <c r="M144" s="37"/>
      <c r="N144" s="37"/>
      <c r="O144" s="38"/>
      <c r="P144" s="37"/>
      <c r="Q144" s="31" t="n">
        <f aca="false">IF(AND(N144="Approved",L144&lt;&gt;""),L144,0)</f>
        <v>0</v>
      </c>
      <c r="R144" s="12"/>
    </row>
    <row r="145" customFormat="false" ht="15" hidden="false" customHeight="false" outlineLevel="0" collapsed="false">
      <c r="A145" s="37"/>
      <c r="B145" s="38"/>
      <c r="C145" s="37"/>
      <c r="D145" s="31" t="str">
        <f aca="false">IF($C145="","",IFERROR(INDEX(Employee_Master!$B$5:$B$104,MATCH($C145,Employee_Master!$A$5:$A$104,0)),"ID not found"))</f>
        <v/>
      </c>
      <c r="E145" s="31" t="str">
        <f aca="false">IF($C145="","",IFERROR(INDEX(Employee_Master!$C$5:$C$104,MATCH($C145,Employee_Master!$A$5:$A$104,0)),"ID not found"))</f>
        <v/>
      </c>
      <c r="F145" s="37"/>
      <c r="G145" s="37"/>
      <c r="H145" s="31" t="str">
        <f aca="false">IF(OR(C145="",G145=""),"",IF(G145&lt;&gt;E145,"Yes","No"))</f>
        <v/>
      </c>
      <c r="I145" s="12"/>
      <c r="J145" s="12"/>
      <c r="K145" s="37"/>
      <c r="L145" s="31" t="str">
        <f aca="false">IF(F145="","",IFERROR(INDEX(Reference_Data!$P$5:$P$14,MATCH(F145,Reference_Data!$O$5:$O$14,0)),0))</f>
        <v/>
      </c>
      <c r="M145" s="37"/>
      <c r="N145" s="37"/>
      <c r="O145" s="38"/>
      <c r="P145" s="37"/>
      <c r="Q145" s="31" t="n">
        <f aca="false">IF(AND(N145="Approved",L145&lt;&gt;""),L145,0)</f>
        <v>0</v>
      </c>
      <c r="R145" s="12"/>
    </row>
    <row r="146" customFormat="false" ht="15" hidden="false" customHeight="false" outlineLevel="0" collapsed="false">
      <c r="A146" s="37"/>
      <c r="B146" s="38"/>
      <c r="C146" s="37"/>
      <c r="D146" s="31" t="str">
        <f aca="false">IF($C146="","",IFERROR(INDEX(Employee_Master!$B$5:$B$104,MATCH($C146,Employee_Master!$A$5:$A$104,0)),"ID not found"))</f>
        <v/>
      </c>
      <c r="E146" s="31" t="str">
        <f aca="false">IF($C146="","",IFERROR(INDEX(Employee_Master!$C$5:$C$104,MATCH($C146,Employee_Master!$A$5:$A$104,0)),"ID not found"))</f>
        <v/>
      </c>
      <c r="F146" s="37"/>
      <c r="G146" s="37"/>
      <c r="H146" s="31" t="str">
        <f aca="false">IF(OR(C146="",G146=""),"",IF(G146&lt;&gt;E146,"Yes","No"))</f>
        <v/>
      </c>
      <c r="I146" s="12"/>
      <c r="J146" s="12"/>
      <c r="K146" s="37"/>
      <c r="L146" s="31" t="str">
        <f aca="false">IF(F146="","",IFERROR(INDEX(Reference_Data!$P$5:$P$14,MATCH(F146,Reference_Data!$O$5:$O$14,0)),0))</f>
        <v/>
      </c>
      <c r="M146" s="37"/>
      <c r="N146" s="37"/>
      <c r="O146" s="38"/>
      <c r="P146" s="37"/>
      <c r="Q146" s="31" t="n">
        <f aca="false">IF(AND(N146="Approved",L146&lt;&gt;""),L146,0)</f>
        <v>0</v>
      </c>
      <c r="R146" s="12"/>
    </row>
    <row r="147" customFormat="false" ht="15" hidden="false" customHeight="false" outlineLevel="0" collapsed="false">
      <c r="A147" s="37"/>
      <c r="B147" s="38"/>
      <c r="C147" s="37"/>
      <c r="D147" s="31" t="str">
        <f aca="false">IF($C147="","",IFERROR(INDEX(Employee_Master!$B$5:$B$104,MATCH($C147,Employee_Master!$A$5:$A$104,0)),"ID not found"))</f>
        <v/>
      </c>
      <c r="E147" s="31" t="str">
        <f aca="false">IF($C147="","",IFERROR(INDEX(Employee_Master!$C$5:$C$104,MATCH($C147,Employee_Master!$A$5:$A$104,0)),"ID not found"))</f>
        <v/>
      </c>
      <c r="F147" s="37"/>
      <c r="G147" s="37"/>
      <c r="H147" s="31" t="str">
        <f aca="false">IF(OR(C147="",G147=""),"",IF(G147&lt;&gt;E147,"Yes","No"))</f>
        <v/>
      </c>
      <c r="I147" s="12"/>
      <c r="J147" s="12"/>
      <c r="K147" s="37"/>
      <c r="L147" s="31" t="str">
        <f aca="false">IF(F147="","",IFERROR(INDEX(Reference_Data!$P$5:$P$14,MATCH(F147,Reference_Data!$O$5:$O$14,0)),0))</f>
        <v/>
      </c>
      <c r="M147" s="37"/>
      <c r="N147" s="37"/>
      <c r="O147" s="38"/>
      <c r="P147" s="37"/>
      <c r="Q147" s="31" t="n">
        <f aca="false">IF(AND(N147="Approved",L147&lt;&gt;""),L147,0)</f>
        <v>0</v>
      </c>
      <c r="R147" s="12"/>
    </row>
    <row r="148" customFormat="false" ht="15" hidden="false" customHeight="false" outlineLevel="0" collapsed="false">
      <c r="A148" s="37"/>
      <c r="B148" s="38"/>
      <c r="C148" s="37"/>
      <c r="D148" s="31" t="str">
        <f aca="false">IF($C148="","",IFERROR(INDEX(Employee_Master!$B$5:$B$104,MATCH($C148,Employee_Master!$A$5:$A$104,0)),"ID not found"))</f>
        <v/>
      </c>
      <c r="E148" s="31" t="str">
        <f aca="false">IF($C148="","",IFERROR(INDEX(Employee_Master!$C$5:$C$104,MATCH($C148,Employee_Master!$A$5:$A$104,0)),"ID not found"))</f>
        <v/>
      </c>
      <c r="F148" s="37"/>
      <c r="G148" s="37"/>
      <c r="H148" s="31" t="str">
        <f aca="false">IF(OR(C148="",G148=""),"",IF(G148&lt;&gt;E148,"Yes","No"))</f>
        <v/>
      </c>
      <c r="I148" s="12"/>
      <c r="J148" s="12"/>
      <c r="K148" s="37"/>
      <c r="L148" s="31" t="str">
        <f aca="false">IF(F148="","",IFERROR(INDEX(Reference_Data!$P$5:$P$14,MATCH(F148,Reference_Data!$O$5:$O$14,0)),0))</f>
        <v/>
      </c>
      <c r="M148" s="37"/>
      <c r="N148" s="37"/>
      <c r="O148" s="38"/>
      <c r="P148" s="37"/>
      <c r="Q148" s="31" t="n">
        <f aca="false">IF(AND(N148="Approved",L148&lt;&gt;""),L148,0)</f>
        <v>0</v>
      </c>
      <c r="R148" s="12"/>
    </row>
    <row r="149" customFormat="false" ht="15" hidden="false" customHeight="false" outlineLevel="0" collapsed="false">
      <c r="A149" s="37"/>
      <c r="B149" s="38"/>
      <c r="C149" s="37"/>
      <c r="D149" s="31" t="str">
        <f aca="false">IF($C149="","",IFERROR(INDEX(Employee_Master!$B$5:$B$104,MATCH($C149,Employee_Master!$A$5:$A$104,0)),"ID not found"))</f>
        <v/>
      </c>
      <c r="E149" s="31" t="str">
        <f aca="false">IF($C149="","",IFERROR(INDEX(Employee_Master!$C$5:$C$104,MATCH($C149,Employee_Master!$A$5:$A$104,0)),"ID not found"))</f>
        <v/>
      </c>
      <c r="F149" s="37"/>
      <c r="G149" s="37"/>
      <c r="H149" s="31" t="str">
        <f aca="false">IF(OR(C149="",G149=""),"",IF(G149&lt;&gt;E149,"Yes","No"))</f>
        <v/>
      </c>
      <c r="I149" s="12"/>
      <c r="J149" s="12"/>
      <c r="K149" s="37"/>
      <c r="L149" s="31" t="str">
        <f aca="false">IF(F149="","",IFERROR(INDEX(Reference_Data!$P$5:$P$14,MATCH(F149,Reference_Data!$O$5:$O$14,0)),0))</f>
        <v/>
      </c>
      <c r="M149" s="37"/>
      <c r="N149" s="37"/>
      <c r="O149" s="38"/>
      <c r="P149" s="37"/>
      <c r="Q149" s="31" t="n">
        <f aca="false">IF(AND(N149="Approved",L149&lt;&gt;""),L149,0)</f>
        <v>0</v>
      </c>
      <c r="R149" s="12"/>
    </row>
    <row r="150" customFormat="false" ht="15" hidden="false" customHeight="false" outlineLevel="0" collapsed="false">
      <c r="A150" s="37"/>
      <c r="B150" s="38"/>
      <c r="C150" s="37"/>
      <c r="D150" s="31" t="str">
        <f aca="false">IF($C150="","",IFERROR(INDEX(Employee_Master!$B$5:$B$104,MATCH($C150,Employee_Master!$A$5:$A$104,0)),"ID not found"))</f>
        <v/>
      </c>
      <c r="E150" s="31" t="str">
        <f aca="false">IF($C150="","",IFERROR(INDEX(Employee_Master!$C$5:$C$104,MATCH($C150,Employee_Master!$A$5:$A$104,0)),"ID not found"))</f>
        <v/>
      </c>
      <c r="F150" s="37"/>
      <c r="G150" s="37"/>
      <c r="H150" s="31" t="str">
        <f aca="false">IF(OR(C150="",G150=""),"",IF(G150&lt;&gt;E150,"Yes","No"))</f>
        <v/>
      </c>
      <c r="I150" s="12"/>
      <c r="J150" s="12"/>
      <c r="K150" s="37"/>
      <c r="L150" s="31" t="str">
        <f aca="false">IF(F150="","",IFERROR(INDEX(Reference_Data!$P$5:$P$14,MATCH(F150,Reference_Data!$O$5:$O$14,0)),0))</f>
        <v/>
      </c>
      <c r="M150" s="37"/>
      <c r="N150" s="37"/>
      <c r="O150" s="38"/>
      <c r="P150" s="37"/>
      <c r="Q150" s="31" t="n">
        <f aca="false">IF(AND(N150="Approved",L150&lt;&gt;""),L150,0)</f>
        <v>0</v>
      </c>
      <c r="R150" s="12"/>
    </row>
    <row r="151" customFormat="false" ht="15" hidden="false" customHeight="false" outlineLevel="0" collapsed="false">
      <c r="A151" s="37"/>
      <c r="B151" s="38"/>
      <c r="C151" s="37"/>
      <c r="D151" s="31" t="str">
        <f aca="false">IF($C151="","",IFERROR(INDEX(Employee_Master!$B$5:$B$104,MATCH($C151,Employee_Master!$A$5:$A$104,0)),"ID not found"))</f>
        <v/>
      </c>
      <c r="E151" s="31" t="str">
        <f aca="false">IF($C151="","",IFERROR(INDEX(Employee_Master!$C$5:$C$104,MATCH($C151,Employee_Master!$A$5:$A$104,0)),"ID not found"))</f>
        <v/>
      </c>
      <c r="F151" s="37"/>
      <c r="G151" s="37"/>
      <c r="H151" s="31" t="str">
        <f aca="false">IF(OR(C151="",G151=""),"",IF(G151&lt;&gt;E151,"Yes","No"))</f>
        <v/>
      </c>
      <c r="I151" s="12"/>
      <c r="J151" s="12"/>
      <c r="K151" s="37"/>
      <c r="L151" s="31" t="str">
        <f aca="false">IF(F151="","",IFERROR(INDEX(Reference_Data!$P$5:$P$14,MATCH(F151,Reference_Data!$O$5:$O$14,0)),0))</f>
        <v/>
      </c>
      <c r="M151" s="37"/>
      <c r="N151" s="37"/>
      <c r="O151" s="38"/>
      <c r="P151" s="37"/>
      <c r="Q151" s="31" t="n">
        <f aca="false">IF(AND(N151="Approved",L151&lt;&gt;""),L151,0)</f>
        <v>0</v>
      </c>
      <c r="R151" s="12"/>
    </row>
    <row r="152" customFormat="false" ht="15" hidden="false" customHeight="false" outlineLevel="0" collapsed="false">
      <c r="A152" s="37"/>
      <c r="B152" s="38"/>
      <c r="C152" s="37"/>
      <c r="D152" s="31" t="str">
        <f aca="false">IF($C152="","",IFERROR(INDEX(Employee_Master!$B$5:$B$104,MATCH($C152,Employee_Master!$A$5:$A$104,0)),"ID not found"))</f>
        <v/>
      </c>
      <c r="E152" s="31" t="str">
        <f aca="false">IF($C152="","",IFERROR(INDEX(Employee_Master!$C$5:$C$104,MATCH($C152,Employee_Master!$A$5:$A$104,0)),"ID not found"))</f>
        <v/>
      </c>
      <c r="F152" s="37"/>
      <c r="G152" s="37"/>
      <c r="H152" s="31" t="str">
        <f aca="false">IF(OR(C152="",G152=""),"",IF(G152&lt;&gt;E152,"Yes","No"))</f>
        <v/>
      </c>
      <c r="I152" s="12"/>
      <c r="J152" s="12"/>
      <c r="K152" s="37"/>
      <c r="L152" s="31" t="str">
        <f aca="false">IF(F152="","",IFERROR(INDEX(Reference_Data!$P$5:$P$14,MATCH(F152,Reference_Data!$O$5:$O$14,0)),0))</f>
        <v/>
      </c>
      <c r="M152" s="37"/>
      <c r="N152" s="37"/>
      <c r="O152" s="38"/>
      <c r="P152" s="37"/>
      <c r="Q152" s="31" t="n">
        <f aca="false">IF(AND(N152="Approved",L152&lt;&gt;""),L152,0)</f>
        <v>0</v>
      </c>
      <c r="R152" s="12"/>
    </row>
    <row r="153" customFormat="false" ht="15" hidden="false" customHeight="false" outlineLevel="0" collapsed="false">
      <c r="A153" s="37"/>
      <c r="B153" s="38"/>
      <c r="C153" s="37"/>
      <c r="D153" s="31" t="str">
        <f aca="false">IF($C153="","",IFERROR(INDEX(Employee_Master!$B$5:$B$104,MATCH($C153,Employee_Master!$A$5:$A$104,0)),"ID not found"))</f>
        <v/>
      </c>
      <c r="E153" s="31" t="str">
        <f aca="false">IF($C153="","",IFERROR(INDEX(Employee_Master!$C$5:$C$104,MATCH($C153,Employee_Master!$A$5:$A$104,0)),"ID not found"))</f>
        <v/>
      </c>
      <c r="F153" s="37"/>
      <c r="G153" s="37"/>
      <c r="H153" s="31" t="str">
        <f aca="false">IF(OR(C153="",G153=""),"",IF(G153&lt;&gt;E153,"Yes","No"))</f>
        <v/>
      </c>
      <c r="I153" s="12"/>
      <c r="J153" s="12"/>
      <c r="K153" s="37"/>
      <c r="L153" s="31" t="str">
        <f aca="false">IF(F153="","",IFERROR(INDEX(Reference_Data!$P$5:$P$14,MATCH(F153,Reference_Data!$O$5:$O$14,0)),0))</f>
        <v/>
      </c>
      <c r="M153" s="37"/>
      <c r="N153" s="37"/>
      <c r="O153" s="38"/>
      <c r="P153" s="37"/>
      <c r="Q153" s="31" t="n">
        <f aca="false">IF(AND(N153="Approved",L153&lt;&gt;""),L153,0)</f>
        <v>0</v>
      </c>
      <c r="R153" s="12"/>
    </row>
    <row r="154" customFormat="false" ht="15" hidden="false" customHeight="false" outlineLevel="0" collapsed="false">
      <c r="A154" s="37"/>
      <c r="B154" s="38"/>
      <c r="C154" s="37"/>
      <c r="D154" s="31" t="str">
        <f aca="false">IF($C154="","",IFERROR(INDEX(Employee_Master!$B$5:$B$104,MATCH($C154,Employee_Master!$A$5:$A$104,0)),"ID not found"))</f>
        <v/>
      </c>
      <c r="E154" s="31" t="str">
        <f aca="false">IF($C154="","",IFERROR(INDEX(Employee_Master!$C$5:$C$104,MATCH($C154,Employee_Master!$A$5:$A$104,0)),"ID not found"))</f>
        <v/>
      </c>
      <c r="F154" s="37"/>
      <c r="G154" s="37"/>
      <c r="H154" s="31" t="str">
        <f aca="false">IF(OR(C154="",G154=""),"",IF(G154&lt;&gt;E154,"Yes","No"))</f>
        <v/>
      </c>
      <c r="I154" s="12"/>
      <c r="J154" s="12"/>
      <c r="K154" s="37"/>
      <c r="L154" s="31" t="str">
        <f aca="false">IF(F154="","",IFERROR(INDEX(Reference_Data!$P$5:$P$14,MATCH(F154,Reference_Data!$O$5:$O$14,0)),0))</f>
        <v/>
      </c>
      <c r="M154" s="37"/>
      <c r="N154" s="37"/>
      <c r="O154" s="38"/>
      <c r="P154" s="37"/>
      <c r="Q154" s="31" t="n">
        <f aca="false">IF(AND(N154="Approved",L154&lt;&gt;""),L154,0)</f>
        <v>0</v>
      </c>
      <c r="R154" s="12"/>
    </row>
    <row r="155" customFormat="false" ht="15" hidden="false" customHeight="false" outlineLevel="0" collapsed="false">
      <c r="A155" s="37"/>
      <c r="B155" s="38"/>
      <c r="C155" s="37"/>
      <c r="D155" s="31" t="str">
        <f aca="false">IF($C155="","",IFERROR(INDEX(Employee_Master!$B$5:$B$104,MATCH($C155,Employee_Master!$A$5:$A$104,0)),"ID not found"))</f>
        <v/>
      </c>
      <c r="E155" s="31" t="str">
        <f aca="false">IF($C155="","",IFERROR(INDEX(Employee_Master!$C$5:$C$104,MATCH($C155,Employee_Master!$A$5:$A$104,0)),"ID not found"))</f>
        <v/>
      </c>
      <c r="F155" s="37"/>
      <c r="G155" s="37"/>
      <c r="H155" s="31" t="str">
        <f aca="false">IF(OR(C155="",G155=""),"",IF(G155&lt;&gt;E155,"Yes","No"))</f>
        <v/>
      </c>
      <c r="I155" s="12"/>
      <c r="J155" s="12"/>
      <c r="K155" s="37"/>
      <c r="L155" s="31" t="str">
        <f aca="false">IF(F155="","",IFERROR(INDEX(Reference_Data!$P$5:$P$14,MATCH(F155,Reference_Data!$O$5:$O$14,0)),0))</f>
        <v/>
      </c>
      <c r="M155" s="37"/>
      <c r="N155" s="37"/>
      <c r="O155" s="38"/>
      <c r="P155" s="37"/>
      <c r="Q155" s="31" t="n">
        <f aca="false">IF(AND(N155="Approved",L155&lt;&gt;""),L155,0)</f>
        <v>0</v>
      </c>
      <c r="R155" s="12"/>
    </row>
    <row r="156" customFormat="false" ht="15" hidden="false" customHeight="false" outlineLevel="0" collapsed="false">
      <c r="A156" s="37"/>
      <c r="B156" s="38"/>
      <c r="C156" s="37"/>
      <c r="D156" s="31" t="str">
        <f aca="false">IF($C156="","",IFERROR(INDEX(Employee_Master!$B$5:$B$104,MATCH($C156,Employee_Master!$A$5:$A$104,0)),"ID not found"))</f>
        <v/>
      </c>
      <c r="E156" s="31" t="str">
        <f aca="false">IF($C156="","",IFERROR(INDEX(Employee_Master!$C$5:$C$104,MATCH($C156,Employee_Master!$A$5:$A$104,0)),"ID not found"))</f>
        <v/>
      </c>
      <c r="F156" s="37"/>
      <c r="G156" s="37"/>
      <c r="H156" s="31" t="str">
        <f aca="false">IF(OR(C156="",G156=""),"",IF(G156&lt;&gt;E156,"Yes","No"))</f>
        <v/>
      </c>
      <c r="I156" s="12"/>
      <c r="J156" s="12"/>
      <c r="K156" s="37"/>
      <c r="L156" s="31" t="str">
        <f aca="false">IF(F156="","",IFERROR(INDEX(Reference_Data!$P$5:$P$14,MATCH(F156,Reference_Data!$O$5:$O$14,0)),0))</f>
        <v/>
      </c>
      <c r="M156" s="37"/>
      <c r="N156" s="37"/>
      <c r="O156" s="38"/>
      <c r="P156" s="37"/>
      <c r="Q156" s="31" t="n">
        <f aca="false">IF(AND(N156="Approved",L156&lt;&gt;""),L156,0)</f>
        <v>0</v>
      </c>
      <c r="R156" s="12"/>
    </row>
    <row r="157" customFormat="false" ht="15" hidden="false" customHeight="false" outlineLevel="0" collapsed="false">
      <c r="A157" s="37"/>
      <c r="B157" s="38"/>
      <c r="C157" s="37"/>
      <c r="D157" s="31" t="str">
        <f aca="false">IF($C157="","",IFERROR(INDEX(Employee_Master!$B$5:$B$104,MATCH($C157,Employee_Master!$A$5:$A$104,0)),"ID not found"))</f>
        <v/>
      </c>
      <c r="E157" s="31" t="str">
        <f aca="false">IF($C157="","",IFERROR(INDEX(Employee_Master!$C$5:$C$104,MATCH($C157,Employee_Master!$A$5:$A$104,0)),"ID not found"))</f>
        <v/>
      </c>
      <c r="F157" s="37"/>
      <c r="G157" s="37"/>
      <c r="H157" s="31" t="str">
        <f aca="false">IF(OR(C157="",G157=""),"",IF(G157&lt;&gt;E157,"Yes","No"))</f>
        <v/>
      </c>
      <c r="I157" s="12"/>
      <c r="J157" s="12"/>
      <c r="K157" s="37"/>
      <c r="L157" s="31" t="str">
        <f aca="false">IF(F157="","",IFERROR(INDEX(Reference_Data!$P$5:$P$14,MATCH(F157,Reference_Data!$O$5:$O$14,0)),0))</f>
        <v/>
      </c>
      <c r="M157" s="37"/>
      <c r="N157" s="37"/>
      <c r="O157" s="38"/>
      <c r="P157" s="37"/>
      <c r="Q157" s="31" t="n">
        <f aca="false">IF(AND(N157="Approved",L157&lt;&gt;""),L157,0)</f>
        <v>0</v>
      </c>
      <c r="R157" s="12"/>
    </row>
    <row r="158" customFormat="false" ht="15" hidden="false" customHeight="false" outlineLevel="0" collapsed="false">
      <c r="A158" s="37"/>
      <c r="B158" s="38"/>
      <c r="C158" s="37"/>
      <c r="D158" s="31" t="str">
        <f aca="false">IF($C158="","",IFERROR(INDEX(Employee_Master!$B$5:$B$104,MATCH($C158,Employee_Master!$A$5:$A$104,0)),"ID not found"))</f>
        <v/>
      </c>
      <c r="E158" s="31" t="str">
        <f aca="false">IF($C158="","",IFERROR(INDEX(Employee_Master!$C$5:$C$104,MATCH($C158,Employee_Master!$A$5:$A$104,0)),"ID not found"))</f>
        <v/>
      </c>
      <c r="F158" s="37"/>
      <c r="G158" s="37"/>
      <c r="H158" s="31" t="str">
        <f aca="false">IF(OR(C158="",G158=""),"",IF(G158&lt;&gt;E158,"Yes","No"))</f>
        <v/>
      </c>
      <c r="I158" s="12"/>
      <c r="J158" s="12"/>
      <c r="K158" s="37"/>
      <c r="L158" s="31" t="str">
        <f aca="false">IF(F158="","",IFERROR(INDEX(Reference_Data!$P$5:$P$14,MATCH(F158,Reference_Data!$O$5:$O$14,0)),0))</f>
        <v/>
      </c>
      <c r="M158" s="37"/>
      <c r="N158" s="37"/>
      <c r="O158" s="38"/>
      <c r="P158" s="37"/>
      <c r="Q158" s="31" t="n">
        <f aca="false">IF(AND(N158="Approved",L158&lt;&gt;""),L158,0)</f>
        <v>0</v>
      </c>
      <c r="R158" s="12"/>
    </row>
    <row r="159" customFormat="false" ht="15" hidden="false" customHeight="false" outlineLevel="0" collapsed="false">
      <c r="A159" s="37"/>
      <c r="B159" s="38"/>
      <c r="C159" s="37"/>
      <c r="D159" s="31" t="str">
        <f aca="false">IF($C159="","",IFERROR(INDEX(Employee_Master!$B$5:$B$104,MATCH($C159,Employee_Master!$A$5:$A$104,0)),"ID not found"))</f>
        <v/>
      </c>
      <c r="E159" s="31" t="str">
        <f aca="false">IF($C159="","",IFERROR(INDEX(Employee_Master!$C$5:$C$104,MATCH($C159,Employee_Master!$A$5:$A$104,0)),"ID not found"))</f>
        <v/>
      </c>
      <c r="F159" s="37"/>
      <c r="G159" s="37"/>
      <c r="H159" s="31" t="str">
        <f aca="false">IF(OR(C159="",G159=""),"",IF(G159&lt;&gt;E159,"Yes","No"))</f>
        <v/>
      </c>
      <c r="I159" s="12"/>
      <c r="J159" s="12"/>
      <c r="K159" s="37"/>
      <c r="L159" s="31" t="str">
        <f aca="false">IF(F159="","",IFERROR(INDEX(Reference_Data!$P$5:$P$14,MATCH(F159,Reference_Data!$O$5:$O$14,0)),0))</f>
        <v/>
      </c>
      <c r="M159" s="37"/>
      <c r="N159" s="37"/>
      <c r="O159" s="38"/>
      <c r="P159" s="37"/>
      <c r="Q159" s="31" t="n">
        <f aca="false">IF(AND(N159="Approved",L159&lt;&gt;""),L159,0)</f>
        <v>0</v>
      </c>
      <c r="R159" s="12"/>
    </row>
    <row r="160" customFormat="false" ht="15" hidden="false" customHeight="false" outlineLevel="0" collapsed="false">
      <c r="A160" s="37"/>
      <c r="B160" s="38"/>
      <c r="C160" s="37"/>
      <c r="D160" s="31" t="str">
        <f aca="false">IF($C160="","",IFERROR(INDEX(Employee_Master!$B$5:$B$104,MATCH($C160,Employee_Master!$A$5:$A$104,0)),"ID not found"))</f>
        <v/>
      </c>
      <c r="E160" s="31" t="str">
        <f aca="false">IF($C160="","",IFERROR(INDEX(Employee_Master!$C$5:$C$104,MATCH($C160,Employee_Master!$A$5:$A$104,0)),"ID not found"))</f>
        <v/>
      </c>
      <c r="F160" s="37"/>
      <c r="G160" s="37"/>
      <c r="H160" s="31" t="str">
        <f aca="false">IF(OR(C160="",G160=""),"",IF(G160&lt;&gt;E160,"Yes","No"))</f>
        <v/>
      </c>
      <c r="I160" s="12"/>
      <c r="J160" s="12"/>
      <c r="K160" s="37"/>
      <c r="L160" s="31" t="str">
        <f aca="false">IF(F160="","",IFERROR(INDEX(Reference_Data!$P$5:$P$14,MATCH(F160,Reference_Data!$O$5:$O$14,0)),0))</f>
        <v/>
      </c>
      <c r="M160" s="37"/>
      <c r="N160" s="37"/>
      <c r="O160" s="38"/>
      <c r="P160" s="37"/>
      <c r="Q160" s="31" t="n">
        <f aca="false">IF(AND(N160="Approved",L160&lt;&gt;""),L160,0)</f>
        <v>0</v>
      </c>
      <c r="R160" s="12"/>
    </row>
    <row r="161" customFormat="false" ht="15" hidden="false" customHeight="false" outlineLevel="0" collapsed="false">
      <c r="A161" s="37"/>
      <c r="B161" s="38"/>
      <c r="C161" s="37"/>
      <c r="D161" s="31" t="str">
        <f aca="false">IF($C161="","",IFERROR(INDEX(Employee_Master!$B$5:$B$104,MATCH($C161,Employee_Master!$A$5:$A$104,0)),"ID not found"))</f>
        <v/>
      </c>
      <c r="E161" s="31" t="str">
        <f aca="false">IF($C161="","",IFERROR(INDEX(Employee_Master!$C$5:$C$104,MATCH($C161,Employee_Master!$A$5:$A$104,0)),"ID not found"))</f>
        <v/>
      </c>
      <c r="F161" s="37"/>
      <c r="G161" s="37"/>
      <c r="H161" s="31" t="str">
        <f aca="false">IF(OR(C161="",G161=""),"",IF(G161&lt;&gt;E161,"Yes","No"))</f>
        <v/>
      </c>
      <c r="I161" s="12"/>
      <c r="J161" s="12"/>
      <c r="K161" s="37"/>
      <c r="L161" s="31" t="str">
        <f aca="false">IF(F161="","",IFERROR(INDEX(Reference_Data!$P$5:$P$14,MATCH(F161,Reference_Data!$O$5:$O$14,0)),0))</f>
        <v/>
      </c>
      <c r="M161" s="37"/>
      <c r="N161" s="37"/>
      <c r="O161" s="38"/>
      <c r="P161" s="37"/>
      <c r="Q161" s="31" t="n">
        <f aca="false">IF(AND(N161="Approved",L161&lt;&gt;""),L161,0)</f>
        <v>0</v>
      </c>
      <c r="R161" s="12"/>
    </row>
    <row r="162" customFormat="false" ht="15" hidden="false" customHeight="false" outlineLevel="0" collapsed="false">
      <c r="A162" s="37"/>
      <c r="B162" s="38"/>
      <c r="C162" s="37"/>
      <c r="D162" s="31" t="str">
        <f aca="false">IF($C162="","",IFERROR(INDEX(Employee_Master!$B$5:$B$104,MATCH($C162,Employee_Master!$A$5:$A$104,0)),"ID not found"))</f>
        <v/>
      </c>
      <c r="E162" s="31" t="str">
        <f aca="false">IF($C162="","",IFERROR(INDEX(Employee_Master!$C$5:$C$104,MATCH($C162,Employee_Master!$A$5:$A$104,0)),"ID not found"))</f>
        <v/>
      </c>
      <c r="F162" s="37"/>
      <c r="G162" s="37"/>
      <c r="H162" s="31" t="str">
        <f aca="false">IF(OR(C162="",G162=""),"",IF(G162&lt;&gt;E162,"Yes","No"))</f>
        <v/>
      </c>
      <c r="I162" s="12"/>
      <c r="J162" s="12"/>
      <c r="K162" s="37"/>
      <c r="L162" s="31" t="str">
        <f aca="false">IF(F162="","",IFERROR(INDEX(Reference_Data!$P$5:$P$14,MATCH(F162,Reference_Data!$O$5:$O$14,0)),0))</f>
        <v/>
      </c>
      <c r="M162" s="37"/>
      <c r="N162" s="37"/>
      <c r="O162" s="38"/>
      <c r="P162" s="37"/>
      <c r="Q162" s="31" t="n">
        <f aca="false">IF(AND(N162="Approved",L162&lt;&gt;""),L162,0)</f>
        <v>0</v>
      </c>
      <c r="R162" s="12"/>
    </row>
    <row r="163" customFormat="false" ht="15" hidden="false" customHeight="false" outlineLevel="0" collapsed="false">
      <c r="A163" s="37"/>
      <c r="B163" s="38"/>
      <c r="C163" s="37"/>
      <c r="D163" s="31" t="str">
        <f aca="false">IF($C163="","",IFERROR(INDEX(Employee_Master!$B$5:$B$104,MATCH($C163,Employee_Master!$A$5:$A$104,0)),"ID not found"))</f>
        <v/>
      </c>
      <c r="E163" s="31" t="str">
        <f aca="false">IF($C163="","",IFERROR(INDEX(Employee_Master!$C$5:$C$104,MATCH($C163,Employee_Master!$A$5:$A$104,0)),"ID not found"))</f>
        <v/>
      </c>
      <c r="F163" s="37"/>
      <c r="G163" s="37"/>
      <c r="H163" s="31" t="str">
        <f aca="false">IF(OR(C163="",G163=""),"",IF(G163&lt;&gt;E163,"Yes","No"))</f>
        <v/>
      </c>
      <c r="I163" s="12"/>
      <c r="J163" s="12"/>
      <c r="K163" s="37"/>
      <c r="L163" s="31" t="str">
        <f aca="false">IF(F163="","",IFERROR(INDEX(Reference_Data!$P$5:$P$14,MATCH(F163,Reference_Data!$O$5:$O$14,0)),0))</f>
        <v/>
      </c>
      <c r="M163" s="37"/>
      <c r="N163" s="37"/>
      <c r="O163" s="38"/>
      <c r="P163" s="37"/>
      <c r="Q163" s="31" t="n">
        <f aca="false">IF(AND(N163="Approved",L163&lt;&gt;""),L163,0)</f>
        <v>0</v>
      </c>
      <c r="R163" s="12"/>
    </row>
    <row r="164" customFormat="false" ht="15" hidden="false" customHeight="false" outlineLevel="0" collapsed="false">
      <c r="A164" s="37"/>
      <c r="B164" s="38"/>
      <c r="C164" s="37"/>
      <c r="D164" s="31" t="str">
        <f aca="false">IF($C164="","",IFERROR(INDEX(Employee_Master!$B$5:$B$104,MATCH($C164,Employee_Master!$A$5:$A$104,0)),"ID not found"))</f>
        <v/>
      </c>
      <c r="E164" s="31" t="str">
        <f aca="false">IF($C164="","",IFERROR(INDEX(Employee_Master!$C$5:$C$104,MATCH($C164,Employee_Master!$A$5:$A$104,0)),"ID not found"))</f>
        <v/>
      </c>
      <c r="F164" s="37"/>
      <c r="G164" s="37"/>
      <c r="H164" s="31" t="str">
        <f aca="false">IF(OR(C164="",G164=""),"",IF(G164&lt;&gt;E164,"Yes","No"))</f>
        <v/>
      </c>
      <c r="I164" s="12"/>
      <c r="J164" s="12"/>
      <c r="K164" s="37"/>
      <c r="L164" s="31" t="str">
        <f aca="false">IF(F164="","",IFERROR(INDEX(Reference_Data!$P$5:$P$14,MATCH(F164,Reference_Data!$O$5:$O$14,0)),0))</f>
        <v/>
      </c>
      <c r="M164" s="37"/>
      <c r="N164" s="37"/>
      <c r="O164" s="38"/>
      <c r="P164" s="37"/>
      <c r="Q164" s="31" t="n">
        <f aca="false">IF(AND(N164="Approved",L164&lt;&gt;""),L164,0)</f>
        <v>0</v>
      </c>
      <c r="R164" s="12"/>
    </row>
    <row r="165" customFormat="false" ht="15" hidden="false" customHeight="false" outlineLevel="0" collapsed="false">
      <c r="A165" s="37"/>
      <c r="B165" s="38"/>
      <c r="C165" s="37"/>
      <c r="D165" s="31" t="str">
        <f aca="false">IF($C165="","",IFERROR(INDEX(Employee_Master!$B$5:$B$104,MATCH($C165,Employee_Master!$A$5:$A$104,0)),"ID not found"))</f>
        <v/>
      </c>
      <c r="E165" s="31" t="str">
        <f aca="false">IF($C165="","",IFERROR(INDEX(Employee_Master!$C$5:$C$104,MATCH($C165,Employee_Master!$A$5:$A$104,0)),"ID not found"))</f>
        <v/>
      </c>
      <c r="F165" s="37"/>
      <c r="G165" s="37"/>
      <c r="H165" s="31" t="str">
        <f aca="false">IF(OR(C165="",G165=""),"",IF(G165&lt;&gt;E165,"Yes","No"))</f>
        <v/>
      </c>
      <c r="I165" s="12"/>
      <c r="J165" s="12"/>
      <c r="K165" s="37"/>
      <c r="L165" s="31" t="str">
        <f aca="false">IF(F165="","",IFERROR(INDEX(Reference_Data!$P$5:$P$14,MATCH(F165,Reference_Data!$O$5:$O$14,0)),0))</f>
        <v/>
      </c>
      <c r="M165" s="37"/>
      <c r="N165" s="37"/>
      <c r="O165" s="38"/>
      <c r="P165" s="37"/>
      <c r="Q165" s="31" t="n">
        <f aca="false">IF(AND(N165="Approved",L165&lt;&gt;""),L165,0)</f>
        <v>0</v>
      </c>
      <c r="R165" s="12"/>
    </row>
    <row r="166" customFormat="false" ht="15" hidden="false" customHeight="false" outlineLevel="0" collapsed="false">
      <c r="A166" s="37"/>
      <c r="B166" s="38"/>
      <c r="C166" s="37"/>
      <c r="D166" s="31" t="str">
        <f aca="false">IF($C166="","",IFERROR(INDEX(Employee_Master!$B$5:$B$104,MATCH($C166,Employee_Master!$A$5:$A$104,0)),"ID not found"))</f>
        <v/>
      </c>
      <c r="E166" s="31" t="str">
        <f aca="false">IF($C166="","",IFERROR(INDEX(Employee_Master!$C$5:$C$104,MATCH($C166,Employee_Master!$A$5:$A$104,0)),"ID not found"))</f>
        <v/>
      </c>
      <c r="F166" s="37"/>
      <c r="G166" s="37"/>
      <c r="H166" s="31" t="str">
        <f aca="false">IF(OR(C166="",G166=""),"",IF(G166&lt;&gt;E166,"Yes","No"))</f>
        <v/>
      </c>
      <c r="I166" s="12"/>
      <c r="J166" s="12"/>
      <c r="K166" s="37"/>
      <c r="L166" s="31" t="str">
        <f aca="false">IF(F166="","",IFERROR(INDEX(Reference_Data!$P$5:$P$14,MATCH(F166,Reference_Data!$O$5:$O$14,0)),0))</f>
        <v/>
      </c>
      <c r="M166" s="37"/>
      <c r="N166" s="37"/>
      <c r="O166" s="38"/>
      <c r="P166" s="37"/>
      <c r="Q166" s="31" t="n">
        <f aca="false">IF(AND(N166="Approved",L166&lt;&gt;""),L166,0)</f>
        <v>0</v>
      </c>
      <c r="R166" s="12"/>
    </row>
    <row r="167" customFormat="false" ht="15" hidden="false" customHeight="false" outlineLevel="0" collapsed="false">
      <c r="A167" s="37"/>
      <c r="B167" s="38"/>
      <c r="C167" s="37"/>
      <c r="D167" s="31" t="str">
        <f aca="false">IF($C167="","",IFERROR(INDEX(Employee_Master!$B$5:$B$104,MATCH($C167,Employee_Master!$A$5:$A$104,0)),"ID not found"))</f>
        <v/>
      </c>
      <c r="E167" s="31" t="str">
        <f aca="false">IF($C167="","",IFERROR(INDEX(Employee_Master!$C$5:$C$104,MATCH($C167,Employee_Master!$A$5:$A$104,0)),"ID not found"))</f>
        <v/>
      </c>
      <c r="F167" s="37"/>
      <c r="G167" s="37"/>
      <c r="H167" s="31" t="str">
        <f aca="false">IF(OR(C167="",G167=""),"",IF(G167&lt;&gt;E167,"Yes","No"))</f>
        <v/>
      </c>
      <c r="I167" s="12"/>
      <c r="J167" s="12"/>
      <c r="K167" s="37"/>
      <c r="L167" s="31" t="str">
        <f aca="false">IF(F167="","",IFERROR(INDEX(Reference_Data!$P$5:$P$14,MATCH(F167,Reference_Data!$O$5:$O$14,0)),0))</f>
        <v/>
      </c>
      <c r="M167" s="37"/>
      <c r="N167" s="37"/>
      <c r="O167" s="38"/>
      <c r="P167" s="37"/>
      <c r="Q167" s="31" t="n">
        <f aca="false">IF(AND(N167="Approved",L167&lt;&gt;""),L167,0)</f>
        <v>0</v>
      </c>
      <c r="R167" s="12"/>
    </row>
    <row r="168" customFormat="false" ht="15" hidden="false" customHeight="false" outlineLevel="0" collapsed="false">
      <c r="A168" s="37"/>
      <c r="B168" s="38"/>
      <c r="C168" s="37"/>
      <c r="D168" s="31" t="str">
        <f aca="false">IF($C168="","",IFERROR(INDEX(Employee_Master!$B$5:$B$104,MATCH($C168,Employee_Master!$A$5:$A$104,0)),"ID not found"))</f>
        <v/>
      </c>
      <c r="E168" s="31" t="str">
        <f aca="false">IF($C168="","",IFERROR(INDEX(Employee_Master!$C$5:$C$104,MATCH($C168,Employee_Master!$A$5:$A$104,0)),"ID not found"))</f>
        <v/>
      </c>
      <c r="F168" s="37"/>
      <c r="G168" s="37"/>
      <c r="H168" s="31" t="str">
        <f aca="false">IF(OR(C168="",G168=""),"",IF(G168&lt;&gt;E168,"Yes","No"))</f>
        <v/>
      </c>
      <c r="I168" s="12"/>
      <c r="J168" s="12"/>
      <c r="K168" s="37"/>
      <c r="L168" s="31" t="str">
        <f aca="false">IF(F168="","",IFERROR(INDEX(Reference_Data!$P$5:$P$14,MATCH(F168,Reference_Data!$O$5:$O$14,0)),0))</f>
        <v/>
      </c>
      <c r="M168" s="37"/>
      <c r="N168" s="37"/>
      <c r="O168" s="38"/>
      <c r="P168" s="37"/>
      <c r="Q168" s="31" t="n">
        <f aca="false">IF(AND(N168="Approved",L168&lt;&gt;""),L168,0)</f>
        <v>0</v>
      </c>
      <c r="R168" s="12"/>
    </row>
    <row r="169" customFormat="false" ht="15" hidden="false" customHeight="false" outlineLevel="0" collapsed="false">
      <c r="A169" s="37"/>
      <c r="B169" s="38"/>
      <c r="C169" s="37"/>
      <c r="D169" s="31" t="str">
        <f aca="false">IF($C169="","",IFERROR(INDEX(Employee_Master!$B$5:$B$104,MATCH($C169,Employee_Master!$A$5:$A$104,0)),"ID not found"))</f>
        <v/>
      </c>
      <c r="E169" s="31" t="str">
        <f aca="false">IF($C169="","",IFERROR(INDEX(Employee_Master!$C$5:$C$104,MATCH($C169,Employee_Master!$A$5:$A$104,0)),"ID not found"))</f>
        <v/>
      </c>
      <c r="F169" s="37"/>
      <c r="G169" s="37"/>
      <c r="H169" s="31" t="str">
        <f aca="false">IF(OR(C169="",G169=""),"",IF(G169&lt;&gt;E169,"Yes","No"))</f>
        <v/>
      </c>
      <c r="I169" s="12"/>
      <c r="J169" s="12"/>
      <c r="K169" s="37"/>
      <c r="L169" s="31" t="str">
        <f aca="false">IF(F169="","",IFERROR(INDEX(Reference_Data!$P$5:$P$14,MATCH(F169,Reference_Data!$O$5:$O$14,0)),0))</f>
        <v/>
      </c>
      <c r="M169" s="37"/>
      <c r="N169" s="37"/>
      <c r="O169" s="38"/>
      <c r="P169" s="37"/>
      <c r="Q169" s="31" t="n">
        <f aca="false">IF(AND(N169="Approved",L169&lt;&gt;""),L169,0)</f>
        <v>0</v>
      </c>
      <c r="R169" s="12"/>
    </row>
    <row r="170" customFormat="false" ht="15" hidden="false" customHeight="false" outlineLevel="0" collapsed="false">
      <c r="A170" s="37"/>
      <c r="B170" s="38"/>
      <c r="C170" s="37"/>
      <c r="D170" s="31" t="str">
        <f aca="false">IF($C170="","",IFERROR(INDEX(Employee_Master!$B$5:$B$104,MATCH($C170,Employee_Master!$A$5:$A$104,0)),"ID not found"))</f>
        <v/>
      </c>
      <c r="E170" s="31" t="str">
        <f aca="false">IF($C170="","",IFERROR(INDEX(Employee_Master!$C$5:$C$104,MATCH($C170,Employee_Master!$A$5:$A$104,0)),"ID not found"))</f>
        <v/>
      </c>
      <c r="F170" s="37"/>
      <c r="G170" s="37"/>
      <c r="H170" s="31" t="str">
        <f aca="false">IF(OR(C170="",G170=""),"",IF(G170&lt;&gt;E170,"Yes","No"))</f>
        <v/>
      </c>
      <c r="I170" s="12"/>
      <c r="J170" s="12"/>
      <c r="K170" s="37"/>
      <c r="L170" s="31" t="str">
        <f aca="false">IF(F170="","",IFERROR(INDEX(Reference_Data!$P$5:$P$14,MATCH(F170,Reference_Data!$O$5:$O$14,0)),0))</f>
        <v/>
      </c>
      <c r="M170" s="37"/>
      <c r="N170" s="37"/>
      <c r="O170" s="38"/>
      <c r="P170" s="37"/>
      <c r="Q170" s="31" t="n">
        <f aca="false">IF(AND(N170="Approved",L170&lt;&gt;""),L170,0)</f>
        <v>0</v>
      </c>
      <c r="R170" s="12"/>
    </row>
    <row r="171" customFormat="false" ht="15" hidden="false" customHeight="false" outlineLevel="0" collapsed="false">
      <c r="A171" s="37"/>
      <c r="B171" s="38"/>
      <c r="C171" s="37"/>
      <c r="D171" s="31" t="str">
        <f aca="false">IF($C171="","",IFERROR(INDEX(Employee_Master!$B$5:$B$104,MATCH($C171,Employee_Master!$A$5:$A$104,0)),"ID not found"))</f>
        <v/>
      </c>
      <c r="E171" s="31" t="str">
        <f aca="false">IF($C171="","",IFERROR(INDEX(Employee_Master!$C$5:$C$104,MATCH($C171,Employee_Master!$A$5:$A$104,0)),"ID not found"))</f>
        <v/>
      </c>
      <c r="F171" s="37"/>
      <c r="G171" s="37"/>
      <c r="H171" s="31" t="str">
        <f aca="false">IF(OR(C171="",G171=""),"",IF(G171&lt;&gt;E171,"Yes","No"))</f>
        <v/>
      </c>
      <c r="I171" s="12"/>
      <c r="J171" s="12"/>
      <c r="K171" s="37"/>
      <c r="L171" s="31" t="str">
        <f aca="false">IF(F171="","",IFERROR(INDEX(Reference_Data!$P$5:$P$14,MATCH(F171,Reference_Data!$O$5:$O$14,0)),0))</f>
        <v/>
      </c>
      <c r="M171" s="37"/>
      <c r="N171" s="37"/>
      <c r="O171" s="38"/>
      <c r="P171" s="37"/>
      <c r="Q171" s="31" t="n">
        <f aca="false">IF(AND(N171="Approved",L171&lt;&gt;""),L171,0)</f>
        <v>0</v>
      </c>
      <c r="R171" s="12"/>
    </row>
    <row r="172" customFormat="false" ht="15" hidden="false" customHeight="false" outlineLevel="0" collapsed="false">
      <c r="A172" s="37"/>
      <c r="B172" s="38"/>
      <c r="C172" s="37"/>
      <c r="D172" s="31" t="str">
        <f aca="false">IF($C172="","",IFERROR(INDEX(Employee_Master!$B$5:$B$104,MATCH($C172,Employee_Master!$A$5:$A$104,0)),"ID not found"))</f>
        <v/>
      </c>
      <c r="E172" s="31" t="str">
        <f aca="false">IF($C172="","",IFERROR(INDEX(Employee_Master!$C$5:$C$104,MATCH($C172,Employee_Master!$A$5:$A$104,0)),"ID not found"))</f>
        <v/>
      </c>
      <c r="F172" s="37"/>
      <c r="G172" s="37"/>
      <c r="H172" s="31" t="str">
        <f aca="false">IF(OR(C172="",G172=""),"",IF(G172&lt;&gt;E172,"Yes","No"))</f>
        <v/>
      </c>
      <c r="I172" s="12"/>
      <c r="J172" s="12"/>
      <c r="K172" s="37"/>
      <c r="L172" s="31" t="str">
        <f aca="false">IF(F172="","",IFERROR(INDEX(Reference_Data!$P$5:$P$14,MATCH(F172,Reference_Data!$O$5:$O$14,0)),0))</f>
        <v/>
      </c>
      <c r="M172" s="37"/>
      <c r="N172" s="37"/>
      <c r="O172" s="38"/>
      <c r="P172" s="37"/>
      <c r="Q172" s="31" t="n">
        <f aca="false">IF(AND(N172="Approved",L172&lt;&gt;""),L172,0)</f>
        <v>0</v>
      </c>
      <c r="R172" s="12"/>
    </row>
    <row r="173" customFormat="false" ht="15" hidden="false" customHeight="false" outlineLevel="0" collapsed="false">
      <c r="A173" s="37"/>
      <c r="B173" s="38"/>
      <c r="C173" s="37"/>
      <c r="D173" s="31" t="str">
        <f aca="false">IF($C173="","",IFERROR(INDEX(Employee_Master!$B$5:$B$104,MATCH($C173,Employee_Master!$A$5:$A$104,0)),"ID not found"))</f>
        <v/>
      </c>
      <c r="E173" s="31" t="str">
        <f aca="false">IF($C173="","",IFERROR(INDEX(Employee_Master!$C$5:$C$104,MATCH($C173,Employee_Master!$A$5:$A$104,0)),"ID not found"))</f>
        <v/>
      </c>
      <c r="F173" s="37"/>
      <c r="G173" s="37"/>
      <c r="H173" s="31" t="str">
        <f aca="false">IF(OR(C173="",G173=""),"",IF(G173&lt;&gt;E173,"Yes","No"))</f>
        <v/>
      </c>
      <c r="I173" s="12"/>
      <c r="J173" s="12"/>
      <c r="K173" s="37"/>
      <c r="L173" s="31" t="str">
        <f aca="false">IF(F173="","",IFERROR(INDEX(Reference_Data!$P$5:$P$14,MATCH(F173,Reference_Data!$O$5:$O$14,0)),0))</f>
        <v/>
      </c>
      <c r="M173" s="37"/>
      <c r="N173" s="37"/>
      <c r="O173" s="38"/>
      <c r="P173" s="37"/>
      <c r="Q173" s="31" t="n">
        <f aca="false">IF(AND(N173="Approved",L173&lt;&gt;""),L173,0)</f>
        <v>0</v>
      </c>
      <c r="R173" s="12"/>
    </row>
    <row r="174" customFormat="false" ht="15" hidden="false" customHeight="false" outlineLevel="0" collapsed="false">
      <c r="A174" s="37"/>
      <c r="B174" s="38"/>
      <c r="C174" s="37"/>
      <c r="D174" s="31" t="str">
        <f aca="false">IF($C174="","",IFERROR(INDEX(Employee_Master!$B$5:$B$104,MATCH($C174,Employee_Master!$A$5:$A$104,0)),"ID not found"))</f>
        <v/>
      </c>
      <c r="E174" s="31" t="str">
        <f aca="false">IF($C174="","",IFERROR(INDEX(Employee_Master!$C$5:$C$104,MATCH($C174,Employee_Master!$A$5:$A$104,0)),"ID not found"))</f>
        <v/>
      </c>
      <c r="F174" s="37"/>
      <c r="G174" s="37"/>
      <c r="H174" s="31" t="str">
        <f aca="false">IF(OR(C174="",G174=""),"",IF(G174&lt;&gt;E174,"Yes","No"))</f>
        <v/>
      </c>
      <c r="I174" s="12"/>
      <c r="J174" s="12"/>
      <c r="K174" s="37"/>
      <c r="L174" s="31" t="str">
        <f aca="false">IF(F174="","",IFERROR(INDEX(Reference_Data!$P$5:$P$14,MATCH(F174,Reference_Data!$O$5:$O$14,0)),0))</f>
        <v/>
      </c>
      <c r="M174" s="37"/>
      <c r="N174" s="37"/>
      <c r="O174" s="38"/>
      <c r="P174" s="37"/>
      <c r="Q174" s="31" t="n">
        <f aca="false">IF(AND(N174="Approved",L174&lt;&gt;""),L174,0)</f>
        <v>0</v>
      </c>
      <c r="R174" s="12"/>
    </row>
    <row r="175" customFormat="false" ht="15" hidden="false" customHeight="false" outlineLevel="0" collapsed="false">
      <c r="A175" s="37"/>
      <c r="B175" s="38"/>
      <c r="C175" s="37"/>
      <c r="D175" s="31" t="str">
        <f aca="false">IF($C175="","",IFERROR(INDEX(Employee_Master!$B$5:$B$104,MATCH($C175,Employee_Master!$A$5:$A$104,0)),"ID not found"))</f>
        <v/>
      </c>
      <c r="E175" s="31" t="str">
        <f aca="false">IF($C175="","",IFERROR(INDEX(Employee_Master!$C$5:$C$104,MATCH($C175,Employee_Master!$A$5:$A$104,0)),"ID not found"))</f>
        <v/>
      </c>
      <c r="F175" s="37"/>
      <c r="G175" s="37"/>
      <c r="H175" s="31" t="str">
        <f aca="false">IF(OR(C175="",G175=""),"",IF(G175&lt;&gt;E175,"Yes","No"))</f>
        <v/>
      </c>
      <c r="I175" s="12"/>
      <c r="J175" s="12"/>
      <c r="K175" s="37"/>
      <c r="L175" s="31" t="str">
        <f aca="false">IF(F175="","",IFERROR(INDEX(Reference_Data!$P$5:$P$14,MATCH(F175,Reference_Data!$O$5:$O$14,0)),0))</f>
        <v/>
      </c>
      <c r="M175" s="37"/>
      <c r="N175" s="37"/>
      <c r="O175" s="38"/>
      <c r="P175" s="37"/>
      <c r="Q175" s="31" t="n">
        <f aca="false">IF(AND(N175="Approved",L175&lt;&gt;""),L175,0)</f>
        <v>0</v>
      </c>
      <c r="R175" s="12"/>
    </row>
    <row r="176" customFormat="false" ht="15" hidden="false" customHeight="false" outlineLevel="0" collapsed="false">
      <c r="A176" s="37"/>
      <c r="B176" s="38"/>
      <c r="C176" s="37"/>
      <c r="D176" s="31" t="str">
        <f aca="false">IF($C176="","",IFERROR(INDEX(Employee_Master!$B$5:$B$104,MATCH($C176,Employee_Master!$A$5:$A$104,0)),"ID not found"))</f>
        <v/>
      </c>
      <c r="E176" s="31" t="str">
        <f aca="false">IF($C176="","",IFERROR(INDEX(Employee_Master!$C$5:$C$104,MATCH($C176,Employee_Master!$A$5:$A$104,0)),"ID not found"))</f>
        <v/>
      </c>
      <c r="F176" s="37"/>
      <c r="G176" s="37"/>
      <c r="H176" s="31" t="str">
        <f aca="false">IF(OR(C176="",G176=""),"",IF(G176&lt;&gt;E176,"Yes","No"))</f>
        <v/>
      </c>
      <c r="I176" s="12"/>
      <c r="J176" s="12"/>
      <c r="K176" s="37"/>
      <c r="L176" s="31" t="str">
        <f aca="false">IF(F176="","",IFERROR(INDEX(Reference_Data!$P$5:$P$14,MATCH(F176,Reference_Data!$O$5:$O$14,0)),0))</f>
        <v/>
      </c>
      <c r="M176" s="37"/>
      <c r="N176" s="37"/>
      <c r="O176" s="38"/>
      <c r="P176" s="37"/>
      <c r="Q176" s="31" t="n">
        <f aca="false">IF(AND(N176="Approved",L176&lt;&gt;""),L176,0)</f>
        <v>0</v>
      </c>
      <c r="R176" s="12"/>
    </row>
    <row r="177" customFormat="false" ht="15" hidden="false" customHeight="false" outlineLevel="0" collapsed="false">
      <c r="A177" s="37"/>
      <c r="B177" s="38"/>
      <c r="C177" s="37"/>
      <c r="D177" s="31" t="str">
        <f aca="false">IF($C177="","",IFERROR(INDEX(Employee_Master!$B$5:$B$104,MATCH($C177,Employee_Master!$A$5:$A$104,0)),"ID not found"))</f>
        <v/>
      </c>
      <c r="E177" s="31" t="str">
        <f aca="false">IF($C177="","",IFERROR(INDEX(Employee_Master!$C$5:$C$104,MATCH($C177,Employee_Master!$A$5:$A$104,0)),"ID not found"))</f>
        <v/>
      </c>
      <c r="F177" s="37"/>
      <c r="G177" s="37"/>
      <c r="H177" s="31" t="str">
        <f aca="false">IF(OR(C177="",G177=""),"",IF(G177&lt;&gt;E177,"Yes","No"))</f>
        <v/>
      </c>
      <c r="I177" s="12"/>
      <c r="J177" s="12"/>
      <c r="K177" s="37"/>
      <c r="L177" s="31" t="str">
        <f aca="false">IF(F177="","",IFERROR(INDEX(Reference_Data!$P$5:$P$14,MATCH(F177,Reference_Data!$O$5:$O$14,0)),0))</f>
        <v/>
      </c>
      <c r="M177" s="37"/>
      <c r="N177" s="37"/>
      <c r="O177" s="38"/>
      <c r="P177" s="37"/>
      <c r="Q177" s="31" t="n">
        <f aca="false">IF(AND(N177="Approved",L177&lt;&gt;""),L177,0)</f>
        <v>0</v>
      </c>
      <c r="R177" s="12"/>
    </row>
    <row r="178" customFormat="false" ht="15" hidden="false" customHeight="false" outlineLevel="0" collapsed="false">
      <c r="A178" s="37"/>
      <c r="B178" s="38"/>
      <c r="C178" s="37"/>
      <c r="D178" s="31" t="str">
        <f aca="false">IF($C178="","",IFERROR(INDEX(Employee_Master!$B$5:$B$104,MATCH($C178,Employee_Master!$A$5:$A$104,0)),"ID not found"))</f>
        <v/>
      </c>
      <c r="E178" s="31" t="str">
        <f aca="false">IF($C178="","",IFERROR(INDEX(Employee_Master!$C$5:$C$104,MATCH($C178,Employee_Master!$A$5:$A$104,0)),"ID not found"))</f>
        <v/>
      </c>
      <c r="F178" s="37"/>
      <c r="G178" s="37"/>
      <c r="H178" s="31" t="str">
        <f aca="false">IF(OR(C178="",G178=""),"",IF(G178&lt;&gt;E178,"Yes","No"))</f>
        <v/>
      </c>
      <c r="I178" s="12"/>
      <c r="J178" s="12"/>
      <c r="K178" s="37"/>
      <c r="L178" s="31" t="str">
        <f aca="false">IF(F178="","",IFERROR(INDEX(Reference_Data!$P$5:$P$14,MATCH(F178,Reference_Data!$O$5:$O$14,0)),0))</f>
        <v/>
      </c>
      <c r="M178" s="37"/>
      <c r="N178" s="37"/>
      <c r="O178" s="38"/>
      <c r="P178" s="37"/>
      <c r="Q178" s="31" t="n">
        <f aca="false">IF(AND(N178="Approved",L178&lt;&gt;""),L178,0)</f>
        <v>0</v>
      </c>
      <c r="R178" s="12"/>
    </row>
    <row r="179" customFormat="false" ht="15" hidden="false" customHeight="false" outlineLevel="0" collapsed="false">
      <c r="A179" s="37"/>
      <c r="B179" s="38"/>
      <c r="C179" s="37"/>
      <c r="D179" s="31" t="str">
        <f aca="false">IF($C179="","",IFERROR(INDEX(Employee_Master!$B$5:$B$104,MATCH($C179,Employee_Master!$A$5:$A$104,0)),"ID not found"))</f>
        <v/>
      </c>
      <c r="E179" s="31" t="str">
        <f aca="false">IF($C179="","",IFERROR(INDEX(Employee_Master!$C$5:$C$104,MATCH($C179,Employee_Master!$A$5:$A$104,0)),"ID not found"))</f>
        <v/>
      </c>
      <c r="F179" s="37"/>
      <c r="G179" s="37"/>
      <c r="H179" s="31" t="str">
        <f aca="false">IF(OR(C179="",G179=""),"",IF(G179&lt;&gt;E179,"Yes","No"))</f>
        <v/>
      </c>
      <c r="I179" s="12"/>
      <c r="J179" s="12"/>
      <c r="K179" s="37"/>
      <c r="L179" s="31" t="str">
        <f aca="false">IF(F179="","",IFERROR(INDEX(Reference_Data!$P$5:$P$14,MATCH(F179,Reference_Data!$O$5:$O$14,0)),0))</f>
        <v/>
      </c>
      <c r="M179" s="37"/>
      <c r="N179" s="37"/>
      <c r="O179" s="38"/>
      <c r="P179" s="37"/>
      <c r="Q179" s="31" t="n">
        <f aca="false">IF(AND(N179="Approved",L179&lt;&gt;""),L179,0)</f>
        <v>0</v>
      </c>
      <c r="R179" s="12"/>
    </row>
    <row r="180" customFormat="false" ht="15" hidden="false" customHeight="false" outlineLevel="0" collapsed="false">
      <c r="A180" s="37"/>
      <c r="B180" s="38"/>
      <c r="C180" s="37"/>
      <c r="D180" s="31" t="str">
        <f aca="false">IF($C180="","",IFERROR(INDEX(Employee_Master!$B$5:$B$104,MATCH($C180,Employee_Master!$A$5:$A$104,0)),"ID not found"))</f>
        <v/>
      </c>
      <c r="E180" s="31" t="str">
        <f aca="false">IF($C180="","",IFERROR(INDEX(Employee_Master!$C$5:$C$104,MATCH($C180,Employee_Master!$A$5:$A$104,0)),"ID not found"))</f>
        <v/>
      </c>
      <c r="F180" s="37"/>
      <c r="G180" s="37"/>
      <c r="H180" s="31" t="str">
        <f aca="false">IF(OR(C180="",G180=""),"",IF(G180&lt;&gt;E180,"Yes","No"))</f>
        <v/>
      </c>
      <c r="I180" s="12"/>
      <c r="J180" s="12"/>
      <c r="K180" s="37"/>
      <c r="L180" s="31" t="str">
        <f aca="false">IF(F180="","",IFERROR(INDEX(Reference_Data!$P$5:$P$14,MATCH(F180,Reference_Data!$O$5:$O$14,0)),0))</f>
        <v/>
      </c>
      <c r="M180" s="37"/>
      <c r="N180" s="37"/>
      <c r="O180" s="38"/>
      <c r="P180" s="37"/>
      <c r="Q180" s="31" t="n">
        <f aca="false">IF(AND(N180="Approved",L180&lt;&gt;""),L180,0)</f>
        <v>0</v>
      </c>
      <c r="R180" s="12"/>
    </row>
    <row r="181" customFormat="false" ht="15" hidden="false" customHeight="false" outlineLevel="0" collapsed="false">
      <c r="A181" s="37"/>
      <c r="B181" s="38"/>
      <c r="C181" s="37"/>
      <c r="D181" s="31" t="str">
        <f aca="false">IF($C181="","",IFERROR(INDEX(Employee_Master!$B$5:$B$104,MATCH($C181,Employee_Master!$A$5:$A$104,0)),"ID not found"))</f>
        <v/>
      </c>
      <c r="E181" s="31" t="str">
        <f aca="false">IF($C181="","",IFERROR(INDEX(Employee_Master!$C$5:$C$104,MATCH($C181,Employee_Master!$A$5:$A$104,0)),"ID not found"))</f>
        <v/>
      </c>
      <c r="F181" s="37"/>
      <c r="G181" s="37"/>
      <c r="H181" s="31" t="str">
        <f aca="false">IF(OR(C181="",G181=""),"",IF(G181&lt;&gt;E181,"Yes","No"))</f>
        <v/>
      </c>
      <c r="I181" s="12"/>
      <c r="J181" s="12"/>
      <c r="K181" s="37"/>
      <c r="L181" s="31" t="str">
        <f aca="false">IF(F181="","",IFERROR(INDEX(Reference_Data!$P$5:$P$14,MATCH(F181,Reference_Data!$O$5:$O$14,0)),0))</f>
        <v/>
      </c>
      <c r="M181" s="37"/>
      <c r="N181" s="37"/>
      <c r="O181" s="38"/>
      <c r="P181" s="37"/>
      <c r="Q181" s="31" t="n">
        <f aca="false">IF(AND(N181="Approved",L181&lt;&gt;""),L181,0)</f>
        <v>0</v>
      </c>
      <c r="R181" s="12"/>
    </row>
    <row r="182" customFormat="false" ht="15" hidden="false" customHeight="false" outlineLevel="0" collapsed="false">
      <c r="A182" s="37"/>
      <c r="B182" s="38"/>
      <c r="C182" s="37"/>
      <c r="D182" s="31" t="str">
        <f aca="false">IF($C182="","",IFERROR(INDEX(Employee_Master!$B$5:$B$104,MATCH($C182,Employee_Master!$A$5:$A$104,0)),"ID not found"))</f>
        <v/>
      </c>
      <c r="E182" s="31" t="str">
        <f aca="false">IF($C182="","",IFERROR(INDEX(Employee_Master!$C$5:$C$104,MATCH($C182,Employee_Master!$A$5:$A$104,0)),"ID not found"))</f>
        <v/>
      </c>
      <c r="F182" s="37"/>
      <c r="G182" s="37"/>
      <c r="H182" s="31" t="str">
        <f aca="false">IF(OR(C182="",G182=""),"",IF(G182&lt;&gt;E182,"Yes","No"))</f>
        <v/>
      </c>
      <c r="I182" s="12"/>
      <c r="J182" s="12"/>
      <c r="K182" s="37"/>
      <c r="L182" s="31" t="str">
        <f aca="false">IF(F182="","",IFERROR(INDEX(Reference_Data!$P$5:$P$14,MATCH(F182,Reference_Data!$O$5:$O$14,0)),0))</f>
        <v/>
      </c>
      <c r="M182" s="37"/>
      <c r="N182" s="37"/>
      <c r="O182" s="38"/>
      <c r="P182" s="37"/>
      <c r="Q182" s="31" t="n">
        <f aca="false">IF(AND(N182="Approved",L182&lt;&gt;""),L182,0)</f>
        <v>0</v>
      </c>
      <c r="R182" s="12"/>
    </row>
    <row r="183" customFormat="false" ht="15" hidden="false" customHeight="false" outlineLevel="0" collapsed="false">
      <c r="A183" s="37"/>
      <c r="B183" s="38"/>
      <c r="C183" s="37"/>
      <c r="D183" s="31" t="str">
        <f aca="false">IF($C183="","",IFERROR(INDEX(Employee_Master!$B$5:$B$104,MATCH($C183,Employee_Master!$A$5:$A$104,0)),"ID not found"))</f>
        <v/>
      </c>
      <c r="E183" s="31" t="str">
        <f aca="false">IF($C183="","",IFERROR(INDEX(Employee_Master!$C$5:$C$104,MATCH($C183,Employee_Master!$A$5:$A$104,0)),"ID not found"))</f>
        <v/>
      </c>
      <c r="F183" s="37"/>
      <c r="G183" s="37"/>
      <c r="H183" s="31" t="str">
        <f aca="false">IF(OR(C183="",G183=""),"",IF(G183&lt;&gt;E183,"Yes","No"))</f>
        <v/>
      </c>
      <c r="I183" s="12"/>
      <c r="J183" s="12"/>
      <c r="K183" s="37"/>
      <c r="L183" s="31" t="str">
        <f aca="false">IF(F183="","",IFERROR(INDEX(Reference_Data!$P$5:$P$14,MATCH(F183,Reference_Data!$O$5:$O$14,0)),0))</f>
        <v/>
      </c>
      <c r="M183" s="37"/>
      <c r="N183" s="37"/>
      <c r="O183" s="38"/>
      <c r="P183" s="37"/>
      <c r="Q183" s="31" t="n">
        <f aca="false">IF(AND(N183="Approved",L183&lt;&gt;""),L183,0)</f>
        <v>0</v>
      </c>
      <c r="R183" s="12"/>
    </row>
    <row r="184" customFormat="false" ht="15" hidden="false" customHeight="false" outlineLevel="0" collapsed="false">
      <c r="A184" s="37"/>
      <c r="B184" s="38"/>
      <c r="C184" s="37"/>
      <c r="D184" s="31" t="str">
        <f aca="false">IF($C184="","",IFERROR(INDEX(Employee_Master!$B$5:$B$104,MATCH($C184,Employee_Master!$A$5:$A$104,0)),"ID not found"))</f>
        <v/>
      </c>
      <c r="E184" s="31" t="str">
        <f aca="false">IF($C184="","",IFERROR(INDEX(Employee_Master!$C$5:$C$104,MATCH($C184,Employee_Master!$A$5:$A$104,0)),"ID not found"))</f>
        <v/>
      </c>
      <c r="F184" s="37"/>
      <c r="G184" s="37"/>
      <c r="H184" s="31" t="str">
        <f aca="false">IF(OR(C184="",G184=""),"",IF(G184&lt;&gt;E184,"Yes","No"))</f>
        <v/>
      </c>
      <c r="I184" s="12"/>
      <c r="J184" s="12"/>
      <c r="K184" s="37"/>
      <c r="L184" s="31" t="str">
        <f aca="false">IF(F184="","",IFERROR(INDEX(Reference_Data!$P$5:$P$14,MATCH(F184,Reference_Data!$O$5:$O$14,0)),0))</f>
        <v/>
      </c>
      <c r="M184" s="37"/>
      <c r="N184" s="37"/>
      <c r="O184" s="38"/>
      <c r="P184" s="37"/>
      <c r="Q184" s="31" t="n">
        <f aca="false">IF(AND(N184="Approved",L184&lt;&gt;""),L184,0)</f>
        <v>0</v>
      </c>
      <c r="R184" s="12"/>
    </row>
    <row r="185" customFormat="false" ht="15" hidden="false" customHeight="false" outlineLevel="0" collapsed="false">
      <c r="A185" s="37"/>
      <c r="B185" s="38"/>
      <c r="C185" s="37"/>
      <c r="D185" s="31" t="str">
        <f aca="false">IF($C185="","",IFERROR(INDEX(Employee_Master!$B$5:$B$104,MATCH($C185,Employee_Master!$A$5:$A$104,0)),"ID not found"))</f>
        <v/>
      </c>
      <c r="E185" s="31" t="str">
        <f aca="false">IF($C185="","",IFERROR(INDEX(Employee_Master!$C$5:$C$104,MATCH($C185,Employee_Master!$A$5:$A$104,0)),"ID not found"))</f>
        <v/>
      </c>
      <c r="F185" s="37"/>
      <c r="G185" s="37"/>
      <c r="H185" s="31" t="str">
        <f aca="false">IF(OR(C185="",G185=""),"",IF(G185&lt;&gt;E185,"Yes","No"))</f>
        <v/>
      </c>
      <c r="I185" s="12"/>
      <c r="J185" s="12"/>
      <c r="K185" s="37"/>
      <c r="L185" s="31" t="str">
        <f aca="false">IF(F185="","",IFERROR(INDEX(Reference_Data!$P$5:$P$14,MATCH(F185,Reference_Data!$O$5:$O$14,0)),0))</f>
        <v/>
      </c>
      <c r="M185" s="37"/>
      <c r="N185" s="37"/>
      <c r="O185" s="38"/>
      <c r="P185" s="37"/>
      <c r="Q185" s="31" t="n">
        <f aca="false">IF(AND(N185="Approved",L185&lt;&gt;""),L185,0)</f>
        <v>0</v>
      </c>
      <c r="R185" s="12"/>
    </row>
    <row r="186" customFormat="false" ht="15" hidden="false" customHeight="false" outlineLevel="0" collapsed="false">
      <c r="A186" s="37"/>
      <c r="B186" s="38"/>
      <c r="C186" s="37"/>
      <c r="D186" s="31" t="str">
        <f aca="false">IF($C186="","",IFERROR(INDEX(Employee_Master!$B$5:$B$104,MATCH($C186,Employee_Master!$A$5:$A$104,0)),"ID not found"))</f>
        <v/>
      </c>
      <c r="E186" s="31" t="str">
        <f aca="false">IF($C186="","",IFERROR(INDEX(Employee_Master!$C$5:$C$104,MATCH($C186,Employee_Master!$A$5:$A$104,0)),"ID not found"))</f>
        <v/>
      </c>
      <c r="F186" s="37"/>
      <c r="G186" s="37"/>
      <c r="H186" s="31" t="str">
        <f aca="false">IF(OR(C186="",G186=""),"",IF(G186&lt;&gt;E186,"Yes","No"))</f>
        <v/>
      </c>
      <c r="I186" s="12"/>
      <c r="J186" s="12"/>
      <c r="K186" s="37"/>
      <c r="L186" s="31" t="str">
        <f aca="false">IF(F186="","",IFERROR(INDEX(Reference_Data!$P$5:$P$14,MATCH(F186,Reference_Data!$O$5:$O$14,0)),0))</f>
        <v/>
      </c>
      <c r="M186" s="37"/>
      <c r="N186" s="37"/>
      <c r="O186" s="38"/>
      <c r="P186" s="37"/>
      <c r="Q186" s="31" t="n">
        <f aca="false">IF(AND(N186="Approved",L186&lt;&gt;""),L186,0)</f>
        <v>0</v>
      </c>
      <c r="R186" s="12"/>
    </row>
    <row r="187" customFormat="false" ht="15" hidden="false" customHeight="false" outlineLevel="0" collapsed="false">
      <c r="A187" s="37"/>
      <c r="B187" s="38"/>
      <c r="C187" s="37"/>
      <c r="D187" s="31" t="str">
        <f aca="false">IF($C187="","",IFERROR(INDEX(Employee_Master!$B$5:$B$104,MATCH($C187,Employee_Master!$A$5:$A$104,0)),"ID not found"))</f>
        <v/>
      </c>
      <c r="E187" s="31" t="str">
        <f aca="false">IF($C187="","",IFERROR(INDEX(Employee_Master!$C$5:$C$104,MATCH($C187,Employee_Master!$A$5:$A$104,0)),"ID not found"))</f>
        <v/>
      </c>
      <c r="F187" s="37"/>
      <c r="G187" s="37"/>
      <c r="H187" s="31" t="str">
        <f aca="false">IF(OR(C187="",G187=""),"",IF(G187&lt;&gt;E187,"Yes","No"))</f>
        <v/>
      </c>
      <c r="I187" s="12"/>
      <c r="J187" s="12"/>
      <c r="K187" s="37"/>
      <c r="L187" s="31" t="str">
        <f aca="false">IF(F187="","",IFERROR(INDEX(Reference_Data!$P$5:$P$14,MATCH(F187,Reference_Data!$O$5:$O$14,0)),0))</f>
        <v/>
      </c>
      <c r="M187" s="37"/>
      <c r="N187" s="37"/>
      <c r="O187" s="38"/>
      <c r="P187" s="37"/>
      <c r="Q187" s="31" t="n">
        <f aca="false">IF(AND(N187="Approved",L187&lt;&gt;""),L187,0)</f>
        <v>0</v>
      </c>
      <c r="R187" s="12"/>
    </row>
    <row r="188" customFormat="false" ht="15" hidden="false" customHeight="false" outlineLevel="0" collapsed="false">
      <c r="A188" s="37"/>
      <c r="B188" s="38"/>
      <c r="C188" s="37"/>
      <c r="D188" s="31" t="str">
        <f aca="false">IF($C188="","",IFERROR(INDEX(Employee_Master!$B$5:$B$104,MATCH($C188,Employee_Master!$A$5:$A$104,0)),"ID not found"))</f>
        <v/>
      </c>
      <c r="E188" s="31" t="str">
        <f aca="false">IF($C188="","",IFERROR(INDEX(Employee_Master!$C$5:$C$104,MATCH($C188,Employee_Master!$A$5:$A$104,0)),"ID not found"))</f>
        <v/>
      </c>
      <c r="F188" s="37"/>
      <c r="G188" s="37"/>
      <c r="H188" s="31" t="str">
        <f aca="false">IF(OR(C188="",G188=""),"",IF(G188&lt;&gt;E188,"Yes","No"))</f>
        <v/>
      </c>
      <c r="I188" s="12"/>
      <c r="J188" s="12"/>
      <c r="K188" s="37"/>
      <c r="L188" s="31" t="str">
        <f aca="false">IF(F188="","",IFERROR(INDEX(Reference_Data!$P$5:$P$14,MATCH(F188,Reference_Data!$O$5:$O$14,0)),0))</f>
        <v/>
      </c>
      <c r="M188" s="37"/>
      <c r="N188" s="37"/>
      <c r="O188" s="38"/>
      <c r="P188" s="37"/>
      <c r="Q188" s="31" t="n">
        <f aca="false">IF(AND(N188="Approved",L188&lt;&gt;""),L188,0)</f>
        <v>0</v>
      </c>
      <c r="R188" s="12"/>
    </row>
    <row r="189" customFormat="false" ht="15" hidden="false" customHeight="false" outlineLevel="0" collapsed="false">
      <c r="A189" s="37"/>
      <c r="B189" s="38"/>
      <c r="C189" s="37"/>
      <c r="D189" s="31" t="str">
        <f aca="false">IF($C189="","",IFERROR(INDEX(Employee_Master!$B$5:$B$104,MATCH($C189,Employee_Master!$A$5:$A$104,0)),"ID not found"))</f>
        <v/>
      </c>
      <c r="E189" s="31" t="str">
        <f aca="false">IF($C189="","",IFERROR(INDEX(Employee_Master!$C$5:$C$104,MATCH($C189,Employee_Master!$A$5:$A$104,0)),"ID not found"))</f>
        <v/>
      </c>
      <c r="F189" s="37"/>
      <c r="G189" s="37"/>
      <c r="H189" s="31" t="str">
        <f aca="false">IF(OR(C189="",G189=""),"",IF(G189&lt;&gt;E189,"Yes","No"))</f>
        <v/>
      </c>
      <c r="I189" s="12"/>
      <c r="J189" s="12"/>
      <c r="K189" s="37"/>
      <c r="L189" s="31" t="str">
        <f aca="false">IF(F189="","",IFERROR(INDEX(Reference_Data!$P$5:$P$14,MATCH(F189,Reference_Data!$O$5:$O$14,0)),0))</f>
        <v/>
      </c>
      <c r="M189" s="37"/>
      <c r="N189" s="37"/>
      <c r="O189" s="38"/>
      <c r="P189" s="37"/>
      <c r="Q189" s="31" t="n">
        <f aca="false">IF(AND(N189="Approved",L189&lt;&gt;""),L189,0)</f>
        <v>0</v>
      </c>
      <c r="R189" s="12"/>
    </row>
    <row r="190" customFormat="false" ht="15" hidden="false" customHeight="false" outlineLevel="0" collapsed="false">
      <c r="A190" s="37"/>
      <c r="B190" s="38"/>
      <c r="C190" s="37"/>
      <c r="D190" s="31" t="str">
        <f aca="false">IF($C190="","",IFERROR(INDEX(Employee_Master!$B$5:$B$104,MATCH($C190,Employee_Master!$A$5:$A$104,0)),"ID not found"))</f>
        <v/>
      </c>
      <c r="E190" s="31" t="str">
        <f aca="false">IF($C190="","",IFERROR(INDEX(Employee_Master!$C$5:$C$104,MATCH($C190,Employee_Master!$A$5:$A$104,0)),"ID not found"))</f>
        <v/>
      </c>
      <c r="F190" s="37"/>
      <c r="G190" s="37"/>
      <c r="H190" s="31" t="str">
        <f aca="false">IF(OR(C190="",G190=""),"",IF(G190&lt;&gt;E190,"Yes","No"))</f>
        <v/>
      </c>
      <c r="I190" s="12"/>
      <c r="J190" s="12"/>
      <c r="K190" s="37"/>
      <c r="L190" s="31" t="str">
        <f aca="false">IF(F190="","",IFERROR(INDEX(Reference_Data!$P$5:$P$14,MATCH(F190,Reference_Data!$O$5:$O$14,0)),0))</f>
        <v/>
      </c>
      <c r="M190" s="37"/>
      <c r="N190" s="37"/>
      <c r="O190" s="38"/>
      <c r="P190" s="37"/>
      <c r="Q190" s="31" t="n">
        <f aca="false">IF(AND(N190="Approved",L190&lt;&gt;""),L190,0)</f>
        <v>0</v>
      </c>
      <c r="R190" s="12"/>
    </row>
    <row r="191" customFormat="false" ht="15" hidden="false" customHeight="false" outlineLevel="0" collapsed="false">
      <c r="A191" s="37"/>
      <c r="B191" s="38"/>
      <c r="C191" s="37"/>
      <c r="D191" s="31" t="str">
        <f aca="false">IF($C191="","",IFERROR(INDEX(Employee_Master!$B$5:$B$104,MATCH($C191,Employee_Master!$A$5:$A$104,0)),"ID not found"))</f>
        <v/>
      </c>
      <c r="E191" s="31" t="str">
        <f aca="false">IF($C191="","",IFERROR(INDEX(Employee_Master!$C$5:$C$104,MATCH($C191,Employee_Master!$A$5:$A$104,0)),"ID not found"))</f>
        <v/>
      </c>
      <c r="F191" s="37"/>
      <c r="G191" s="37"/>
      <c r="H191" s="31" t="str">
        <f aca="false">IF(OR(C191="",G191=""),"",IF(G191&lt;&gt;E191,"Yes","No"))</f>
        <v/>
      </c>
      <c r="I191" s="12"/>
      <c r="J191" s="12"/>
      <c r="K191" s="37"/>
      <c r="L191" s="31" t="str">
        <f aca="false">IF(F191="","",IFERROR(INDEX(Reference_Data!$P$5:$P$14,MATCH(F191,Reference_Data!$O$5:$O$14,0)),0))</f>
        <v/>
      </c>
      <c r="M191" s="37"/>
      <c r="N191" s="37"/>
      <c r="O191" s="38"/>
      <c r="P191" s="37"/>
      <c r="Q191" s="31" t="n">
        <f aca="false">IF(AND(N191="Approved",L191&lt;&gt;""),L191,0)</f>
        <v>0</v>
      </c>
      <c r="R191" s="12"/>
    </row>
    <row r="192" customFormat="false" ht="15" hidden="false" customHeight="false" outlineLevel="0" collapsed="false">
      <c r="A192" s="37"/>
      <c r="B192" s="38"/>
      <c r="C192" s="37"/>
      <c r="D192" s="31" t="str">
        <f aca="false">IF($C192="","",IFERROR(INDEX(Employee_Master!$B$5:$B$104,MATCH($C192,Employee_Master!$A$5:$A$104,0)),"ID not found"))</f>
        <v/>
      </c>
      <c r="E192" s="31" t="str">
        <f aca="false">IF($C192="","",IFERROR(INDEX(Employee_Master!$C$5:$C$104,MATCH($C192,Employee_Master!$A$5:$A$104,0)),"ID not found"))</f>
        <v/>
      </c>
      <c r="F192" s="37"/>
      <c r="G192" s="37"/>
      <c r="H192" s="31" t="str">
        <f aca="false">IF(OR(C192="",G192=""),"",IF(G192&lt;&gt;E192,"Yes","No"))</f>
        <v/>
      </c>
      <c r="I192" s="12"/>
      <c r="J192" s="12"/>
      <c r="K192" s="37"/>
      <c r="L192" s="31" t="str">
        <f aca="false">IF(F192="","",IFERROR(INDEX(Reference_Data!$P$5:$P$14,MATCH(F192,Reference_Data!$O$5:$O$14,0)),0))</f>
        <v/>
      </c>
      <c r="M192" s="37"/>
      <c r="N192" s="37"/>
      <c r="O192" s="38"/>
      <c r="P192" s="37"/>
      <c r="Q192" s="31" t="n">
        <f aca="false">IF(AND(N192="Approved",L192&lt;&gt;""),L192,0)</f>
        <v>0</v>
      </c>
      <c r="R192" s="12"/>
    </row>
    <row r="193" customFormat="false" ht="15" hidden="false" customHeight="false" outlineLevel="0" collapsed="false">
      <c r="A193" s="37"/>
      <c r="B193" s="38"/>
      <c r="C193" s="37"/>
      <c r="D193" s="31" t="str">
        <f aca="false">IF($C193="","",IFERROR(INDEX(Employee_Master!$B$5:$B$104,MATCH($C193,Employee_Master!$A$5:$A$104,0)),"ID not found"))</f>
        <v/>
      </c>
      <c r="E193" s="31" t="str">
        <f aca="false">IF($C193="","",IFERROR(INDEX(Employee_Master!$C$5:$C$104,MATCH($C193,Employee_Master!$A$5:$A$104,0)),"ID not found"))</f>
        <v/>
      </c>
      <c r="F193" s="37"/>
      <c r="G193" s="37"/>
      <c r="H193" s="31" t="str">
        <f aca="false">IF(OR(C193="",G193=""),"",IF(G193&lt;&gt;E193,"Yes","No"))</f>
        <v/>
      </c>
      <c r="I193" s="12"/>
      <c r="J193" s="12"/>
      <c r="K193" s="37"/>
      <c r="L193" s="31" t="str">
        <f aca="false">IF(F193="","",IFERROR(INDEX(Reference_Data!$P$5:$P$14,MATCH(F193,Reference_Data!$O$5:$O$14,0)),0))</f>
        <v/>
      </c>
      <c r="M193" s="37"/>
      <c r="N193" s="37"/>
      <c r="O193" s="38"/>
      <c r="P193" s="37"/>
      <c r="Q193" s="31" t="n">
        <f aca="false">IF(AND(N193="Approved",L193&lt;&gt;""),L193,0)</f>
        <v>0</v>
      </c>
      <c r="R193" s="12"/>
    </row>
    <row r="194" customFormat="false" ht="15" hidden="false" customHeight="false" outlineLevel="0" collapsed="false">
      <c r="A194" s="37"/>
      <c r="B194" s="38"/>
      <c r="C194" s="37"/>
      <c r="D194" s="31" t="str">
        <f aca="false">IF($C194="","",IFERROR(INDEX(Employee_Master!$B$5:$B$104,MATCH($C194,Employee_Master!$A$5:$A$104,0)),"ID not found"))</f>
        <v/>
      </c>
      <c r="E194" s="31" t="str">
        <f aca="false">IF($C194="","",IFERROR(INDEX(Employee_Master!$C$5:$C$104,MATCH($C194,Employee_Master!$A$5:$A$104,0)),"ID not found"))</f>
        <v/>
      </c>
      <c r="F194" s="37"/>
      <c r="G194" s="37"/>
      <c r="H194" s="31" t="str">
        <f aca="false">IF(OR(C194="",G194=""),"",IF(G194&lt;&gt;E194,"Yes","No"))</f>
        <v/>
      </c>
      <c r="I194" s="12"/>
      <c r="J194" s="12"/>
      <c r="K194" s="37"/>
      <c r="L194" s="31" t="str">
        <f aca="false">IF(F194="","",IFERROR(INDEX(Reference_Data!$P$5:$P$14,MATCH(F194,Reference_Data!$O$5:$O$14,0)),0))</f>
        <v/>
      </c>
      <c r="M194" s="37"/>
      <c r="N194" s="37"/>
      <c r="O194" s="38"/>
      <c r="P194" s="37"/>
      <c r="Q194" s="31" t="n">
        <f aca="false">IF(AND(N194="Approved",L194&lt;&gt;""),L194,0)</f>
        <v>0</v>
      </c>
      <c r="R194" s="12"/>
    </row>
    <row r="195" customFormat="false" ht="15" hidden="false" customHeight="false" outlineLevel="0" collapsed="false">
      <c r="A195" s="37"/>
      <c r="B195" s="38"/>
      <c r="C195" s="37"/>
      <c r="D195" s="31" t="str">
        <f aca="false">IF($C195="","",IFERROR(INDEX(Employee_Master!$B$5:$B$104,MATCH($C195,Employee_Master!$A$5:$A$104,0)),"ID not found"))</f>
        <v/>
      </c>
      <c r="E195" s="31" t="str">
        <f aca="false">IF($C195="","",IFERROR(INDEX(Employee_Master!$C$5:$C$104,MATCH($C195,Employee_Master!$A$5:$A$104,0)),"ID not found"))</f>
        <v/>
      </c>
      <c r="F195" s="37"/>
      <c r="G195" s="37"/>
      <c r="H195" s="31" t="str">
        <f aca="false">IF(OR(C195="",G195=""),"",IF(G195&lt;&gt;E195,"Yes","No"))</f>
        <v/>
      </c>
      <c r="I195" s="12"/>
      <c r="J195" s="12"/>
      <c r="K195" s="37"/>
      <c r="L195" s="31" t="str">
        <f aca="false">IF(F195="","",IFERROR(INDEX(Reference_Data!$P$5:$P$14,MATCH(F195,Reference_Data!$O$5:$O$14,0)),0))</f>
        <v/>
      </c>
      <c r="M195" s="37"/>
      <c r="N195" s="37"/>
      <c r="O195" s="38"/>
      <c r="P195" s="37"/>
      <c r="Q195" s="31" t="n">
        <f aca="false">IF(AND(N195="Approved",L195&lt;&gt;""),L195,0)</f>
        <v>0</v>
      </c>
      <c r="R195" s="12"/>
    </row>
    <row r="196" customFormat="false" ht="15" hidden="false" customHeight="false" outlineLevel="0" collapsed="false">
      <c r="A196" s="37"/>
      <c r="B196" s="38"/>
      <c r="C196" s="37"/>
      <c r="D196" s="31" t="str">
        <f aca="false">IF($C196="","",IFERROR(INDEX(Employee_Master!$B$5:$B$104,MATCH($C196,Employee_Master!$A$5:$A$104,0)),"ID not found"))</f>
        <v/>
      </c>
      <c r="E196" s="31" t="str">
        <f aca="false">IF($C196="","",IFERROR(INDEX(Employee_Master!$C$5:$C$104,MATCH($C196,Employee_Master!$A$5:$A$104,0)),"ID not found"))</f>
        <v/>
      </c>
      <c r="F196" s="37"/>
      <c r="G196" s="37"/>
      <c r="H196" s="31" t="str">
        <f aca="false">IF(OR(C196="",G196=""),"",IF(G196&lt;&gt;E196,"Yes","No"))</f>
        <v/>
      </c>
      <c r="I196" s="12"/>
      <c r="J196" s="12"/>
      <c r="K196" s="37"/>
      <c r="L196" s="31" t="str">
        <f aca="false">IF(F196="","",IFERROR(INDEX(Reference_Data!$P$5:$P$14,MATCH(F196,Reference_Data!$O$5:$O$14,0)),0))</f>
        <v/>
      </c>
      <c r="M196" s="37"/>
      <c r="N196" s="37"/>
      <c r="O196" s="38"/>
      <c r="P196" s="37"/>
      <c r="Q196" s="31" t="n">
        <f aca="false">IF(AND(N196="Approved",L196&lt;&gt;""),L196,0)</f>
        <v>0</v>
      </c>
      <c r="R196" s="12"/>
    </row>
    <row r="197" customFormat="false" ht="15" hidden="false" customHeight="false" outlineLevel="0" collapsed="false">
      <c r="A197" s="37"/>
      <c r="B197" s="38"/>
      <c r="C197" s="37"/>
      <c r="D197" s="31" t="str">
        <f aca="false">IF($C197="","",IFERROR(INDEX(Employee_Master!$B$5:$B$104,MATCH($C197,Employee_Master!$A$5:$A$104,0)),"ID not found"))</f>
        <v/>
      </c>
      <c r="E197" s="31" t="str">
        <f aca="false">IF($C197="","",IFERROR(INDEX(Employee_Master!$C$5:$C$104,MATCH($C197,Employee_Master!$A$5:$A$104,0)),"ID not found"))</f>
        <v/>
      </c>
      <c r="F197" s="37"/>
      <c r="G197" s="37"/>
      <c r="H197" s="31" t="str">
        <f aca="false">IF(OR(C197="",G197=""),"",IF(G197&lt;&gt;E197,"Yes","No"))</f>
        <v/>
      </c>
      <c r="I197" s="12"/>
      <c r="J197" s="12"/>
      <c r="K197" s="37"/>
      <c r="L197" s="31" t="str">
        <f aca="false">IF(F197="","",IFERROR(INDEX(Reference_Data!$P$5:$P$14,MATCH(F197,Reference_Data!$O$5:$O$14,0)),0))</f>
        <v/>
      </c>
      <c r="M197" s="37"/>
      <c r="N197" s="37"/>
      <c r="O197" s="38"/>
      <c r="P197" s="37"/>
      <c r="Q197" s="31" t="n">
        <f aca="false">IF(AND(N197="Approved",L197&lt;&gt;""),L197,0)</f>
        <v>0</v>
      </c>
      <c r="R197" s="12"/>
    </row>
    <row r="198" customFormat="false" ht="15" hidden="false" customHeight="false" outlineLevel="0" collapsed="false">
      <c r="A198" s="37"/>
      <c r="B198" s="38"/>
      <c r="C198" s="37"/>
      <c r="D198" s="31" t="str">
        <f aca="false">IF($C198="","",IFERROR(INDEX(Employee_Master!$B$5:$B$104,MATCH($C198,Employee_Master!$A$5:$A$104,0)),"ID not found"))</f>
        <v/>
      </c>
      <c r="E198" s="31" t="str">
        <f aca="false">IF($C198="","",IFERROR(INDEX(Employee_Master!$C$5:$C$104,MATCH($C198,Employee_Master!$A$5:$A$104,0)),"ID not found"))</f>
        <v/>
      </c>
      <c r="F198" s="37"/>
      <c r="G198" s="37"/>
      <c r="H198" s="31" t="str">
        <f aca="false">IF(OR(C198="",G198=""),"",IF(G198&lt;&gt;E198,"Yes","No"))</f>
        <v/>
      </c>
      <c r="I198" s="12"/>
      <c r="J198" s="12"/>
      <c r="K198" s="37"/>
      <c r="L198" s="31" t="str">
        <f aca="false">IF(F198="","",IFERROR(INDEX(Reference_Data!$P$5:$P$14,MATCH(F198,Reference_Data!$O$5:$O$14,0)),0))</f>
        <v/>
      </c>
      <c r="M198" s="37"/>
      <c r="N198" s="37"/>
      <c r="O198" s="38"/>
      <c r="P198" s="37"/>
      <c r="Q198" s="31" t="n">
        <f aca="false">IF(AND(N198="Approved",L198&lt;&gt;""),L198,0)</f>
        <v>0</v>
      </c>
      <c r="R198" s="12"/>
    </row>
    <row r="199" customFormat="false" ht="15" hidden="false" customHeight="false" outlineLevel="0" collapsed="false">
      <c r="A199" s="37"/>
      <c r="B199" s="38"/>
      <c r="C199" s="37"/>
      <c r="D199" s="31" t="str">
        <f aca="false">IF($C199="","",IFERROR(INDEX(Employee_Master!$B$5:$B$104,MATCH($C199,Employee_Master!$A$5:$A$104,0)),"ID not found"))</f>
        <v/>
      </c>
      <c r="E199" s="31" t="str">
        <f aca="false">IF($C199="","",IFERROR(INDEX(Employee_Master!$C$5:$C$104,MATCH($C199,Employee_Master!$A$5:$A$104,0)),"ID not found"))</f>
        <v/>
      </c>
      <c r="F199" s="37"/>
      <c r="G199" s="37"/>
      <c r="H199" s="31" t="str">
        <f aca="false">IF(OR(C199="",G199=""),"",IF(G199&lt;&gt;E199,"Yes","No"))</f>
        <v/>
      </c>
      <c r="I199" s="12"/>
      <c r="J199" s="12"/>
      <c r="K199" s="37"/>
      <c r="L199" s="31" t="str">
        <f aca="false">IF(F199="","",IFERROR(INDEX(Reference_Data!$P$5:$P$14,MATCH(F199,Reference_Data!$O$5:$O$14,0)),0))</f>
        <v/>
      </c>
      <c r="M199" s="37"/>
      <c r="N199" s="37"/>
      <c r="O199" s="38"/>
      <c r="P199" s="37"/>
      <c r="Q199" s="31" t="n">
        <f aca="false">IF(AND(N199="Approved",L199&lt;&gt;""),L199,0)</f>
        <v>0</v>
      </c>
      <c r="R199" s="12"/>
    </row>
    <row r="200" customFormat="false" ht="15" hidden="false" customHeight="false" outlineLevel="0" collapsed="false">
      <c r="A200" s="37"/>
      <c r="B200" s="38"/>
      <c r="C200" s="37"/>
      <c r="D200" s="31" t="str">
        <f aca="false">IF($C200="","",IFERROR(INDEX(Employee_Master!$B$5:$B$104,MATCH($C200,Employee_Master!$A$5:$A$104,0)),"ID not found"))</f>
        <v/>
      </c>
      <c r="E200" s="31" t="str">
        <f aca="false">IF($C200="","",IFERROR(INDEX(Employee_Master!$C$5:$C$104,MATCH($C200,Employee_Master!$A$5:$A$104,0)),"ID not found"))</f>
        <v/>
      </c>
      <c r="F200" s="37"/>
      <c r="G200" s="37"/>
      <c r="H200" s="31" t="str">
        <f aca="false">IF(OR(C200="",G200=""),"",IF(G200&lt;&gt;E200,"Yes","No"))</f>
        <v/>
      </c>
      <c r="I200" s="12"/>
      <c r="J200" s="12"/>
      <c r="K200" s="37"/>
      <c r="L200" s="31" t="str">
        <f aca="false">IF(F200="","",IFERROR(INDEX(Reference_Data!$P$5:$P$14,MATCH(F200,Reference_Data!$O$5:$O$14,0)),0))</f>
        <v/>
      </c>
      <c r="M200" s="37"/>
      <c r="N200" s="37"/>
      <c r="O200" s="38"/>
      <c r="P200" s="37"/>
      <c r="Q200" s="31" t="n">
        <f aca="false">IF(AND(N200="Approved",L200&lt;&gt;""),L200,0)</f>
        <v>0</v>
      </c>
      <c r="R200" s="12"/>
    </row>
    <row r="201" customFormat="false" ht="15" hidden="false" customHeight="false" outlineLevel="0" collapsed="false">
      <c r="A201" s="37"/>
      <c r="B201" s="38"/>
      <c r="C201" s="37"/>
      <c r="D201" s="31" t="str">
        <f aca="false">IF($C201="","",IFERROR(INDEX(Employee_Master!$B$5:$B$104,MATCH($C201,Employee_Master!$A$5:$A$104,0)),"ID not found"))</f>
        <v/>
      </c>
      <c r="E201" s="31" t="str">
        <f aca="false">IF($C201="","",IFERROR(INDEX(Employee_Master!$C$5:$C$104,MATCH($C201,Employee_Master!$A$5:$A$104,0)),"ID not found"))</f>
        <v/>
      </c>
      <c r="F201" s="37"/>
      <c r="G201" s="37"/>
      <c r="H201" s="31" t="str">
        <f aca="false">IF(OR(C201="",G201=""),"",IF(G201&lt;&gt;E201,"Yes","No"))</f>
        <v/>
      </c>
      <c r="I201" s="12"/>
      <c r="J201" s="12"/>
      <c r="K201" s="37"/>
      <c r="L201" s="31" t="str">
        <f aca="false">IF(F201="","",IFERROR(INDEX(Reference_Data!$P$5:$P$14,MATCH(F201,Reference_Data!$O$5:$O$14,0)),0))</f>
        <v/>
      </c>
      <c r="M201" s="37"/>
      <c r="N201" s="37"/>
      <c r="O201" s="38"/>
      <c r="P201" s="37"/>
      <c r="Q201" s="31" t="n">
        <f aca="false">IF(AND(N201="Approved",L201&lt;&gt;""),L201,0)</f>
        <v>0</v>
      </c>
      <c r="R201" s="12"/>
    </row>
    <row r="202" customFormat="false" ht="15" hidden="false" customHeight="false" outlineLevel="0" collapsed="false">
      <c r="A202" s="37"/>
      <c r="B202" s="38"/>
      <c r="C202" s="37"/>
      <c r="D202" s="31" t="str">
        <f aca="false">IF($C202="","",IFERROR(INDEX(Employee_Master!$B$5:$B$104,MATCH($C202,Employee_Master!$A$5:$A$104,0)),"ID not found"))</f>
        <v/>
      </c>
      <c r="E202" s="31" t="str">
        <f aca="false">IF($C202="","",IFERROR(INDEX(Employee_Master!$C$5:$C$104,MATCH($C202,Employee_Master!$A$5:$A$104,0)),"ID not found"))</f>
        <v/>
      </c>
      <c r="F202" s="37"/>
      <c r="G202" s="37"/>
      <c r="H202" s="31" t="str">
        <f aca="false">IF(OR(C202="",G202=""),"",IF(G202&lt;&gt;E202,"Yes","No"))</f>
        <v/>
      </c>
      <c r="I202" s="12"/>
      <c r="J202" s="12"/>
      <c r="K202" s="37"/>
      <c r="L202" s="31" t="str">
        <f aca="false">IF(F202="","",IFERROR(INDEX(Reference_Data!$P$5:$P$14,MATCH(F202,Reference_Data!$O$5:$O$14,0)),0))</f>
        <v/>
      </c>
      <c r="M202" s="37"/>
      <c r="N202" s="37"/>
      <c r="O202" s="38"/>
      <c r="P202" s="37"/>
      <c r="Q202" s="31" t="n">
        <f aca="false">IF(AND(N202="Approved",L202&lt;&gt;""),L202,0)</f>
        <v>0</v>
      </c>
      <c r="R202" s="12"/>
    </row>
    <row r="203" customFormat="false" ht="15" hidden="false" customHeight="false" outlineLevel="0" collapsed="false">
      <c r="A203" s="37"/>
      <c r="B203" s="38"/>
      <c r="C203" s="37"/>
      <c r="D203" s="31" t="str">
        <f aca="false">IF($C203="","",IFERROR(INDEX(Employee_Master!$B$5:$B$104,MATCH($C203,Employee_Master!$A$5:$A$104,0)),"ID not found"))</f>
        <v/>
      </c>
      <c r="E203" s="31" t="str">
        <f aca="false">IF($C203="","",IFERROR(INDEX(Employee_Master!$C$5:$C$104,MATCH($C203,Employee_Master!$A$5:$A$104,0)),"ID not found"))</f>
        <v/>
      </c>
      <c r="F203" s="37"/>
      <c r="G203" s="37"/>
      <c r="H203" s="31" t="str">
        <f aca="false">IF(OR(C203="",G203=""),"",IF(G203&lt;&gt;E203,"Yes","No"))</f>
        <v/>
      </c>
      <c r="I203" s="12"/>
      <c r="J203" s="12"/>
      <c r="K203" s="37"/>
      <c r="L203" s="31" t="str">
        <f aca="false">IF(F203="","",IFERROR(INDEX(Reference_Data!$P$5:$P$14,MATCH(F203,Reference_Data!$O$5:$O$14,0)),0))</f>
        <v/>
      </c>
      <c r="M203" s="37"/>
      <c r="N203" s="37"/>
      <c r="O203" s="38"/>
      <c r="P203" s="37"/>
      <c r="Q203" s="31" t="n">
        <f aca="false">IF(AND(N203="Approved",L203&lt;&gt;""),L203,0)</f>
        <v>0</v>
      </c>
      <c r="R203" s="12"/>
    </row>
    <row r="204" customFormat="false" ht="15" hidden="false" customHeight="false" outlineLevel="0" collapsed="false">
      <c r="A204" s="37"/>
      <c r="B204" s="38"/>
      <c r="C204" s="37"/>
      <c r="D204" s="31" t="str">
        <f aca="false">IF($C204="","",IFERROR(INDEX(Employee_Master!$B$5:$B$104,MATCH($C204,Employee_Master!$A$5:$A$104,0)),"ID not found"))</f>
        <v/>
      </c>
      <c r="E204" s="31" t="str">
        <f aca="false">IF($C204="","",IFERROR(INDEX(Employee_Master!$C$5:$C$104,MATCH($C204,Employee_Master!$A$5:$A$104,0)),"ID not found"))</f>
        <v/>
      </c>
      <c r="F204" s="37"/>
      <c r="G204" s="37"/>
      <c r="H204" s="31" t="str">
        <f aca="false">IF(OR(C204="",G204=""),"",IF(G204&lt;&gt;E204,"Yes","No"))</f>
        <v/>
      </c>
      <c r="I204" s="12"/>
      <c r="J204" s="12"/>
      <c r="K204" s="37"/>
      <c r="L204" s="31" t="str">
        <f aca="false">IF(F204="","",IFERROR(INDEX(Reference_Data!$P$5:$P$14,MATCH(F204,Reference_Data!$O$5:$O$14,0)),0))</f>
        <v/>
      </c>
      <c r="M204" s="37"/>
      <c r="N204" s="37"/>
      <c r="O204" s="38"/>
      <c r="P204" s="37"/>
      <c r="Q204" s="31" t="n">
        <f aca="false">IF(AND(N204="Approved",L204&lt;&gt;""),L204,0)</f>
        <v>0</v>
      </c>
      <c r="R204" s="12"/>
    </row>
    <row r="205" customFormat="false" ht="15" hidden="false" customHeight="false" outlineLevel="0" collapsed="false">
      <c r="A205" s="37"/>
      <c r="B205" s="38"/>
      <c r="C205" s="37"/>
      <c r="D205" s="31" t="str">
        <f aca="false">IF($C205="","",IFERROR(INDEX(Employee_Master!$B$5:$B$104,MATCH($C205,Employee_Master!$A$5:$A$104,0)),"ID not found"))</f>
        <v/>
      </c>
      <c r="E205" s="31" t="str">
        <f aca="false">IF($C205="","",IFERROR(INDEX(Employee_Master!$C$5:$C$104,MATCH($C205,Employee_Master!$A$5:$A$104,0)),"ID not found"))</f>
        <v/>
      </c>
      <c r="F205" s="37"/>
      <c r="G205" s="37"/>
      <c r="H205" s="31" t="str">
        <f aca="false">IF(OR(C205="",G205=""),"",IF(G205&lt;&gt;E205,"Yes","No"))</f>
        <v/>
      </c>
      <c r="I205" s="12"/>
      <c r="J205" s="12"/>
      <c r="K205" s="37"/>
      <c r="L205" s="31" t="str">
        <f aca="false">IF(F205="","",IFERROR(INDEX(Reference_Data!$P$5:$P$14,MATCH(F205,Reference_Data!$O$5:$O$14,0)),0))</f>
        <v/>
      </c>
      <c r="M205" s="37"/>
      <c r="N205" s="37"/>
      <c r="O205" s="38"/>
      <c r="P205" s="37"/>
      <c r="Q205" s="31" t="n">
        <f aca="false">IF(AND(N205="Approved",L205&lt;&gt;""),L205,0)</f>
        <v>0</v>
      </c>
      <c r="R205" s="12"/>
    </row>
    <row r="206" customFormat="false" ht="15" hidden="false" customHeight="false" outlineLevel="0" collapsed="false">
      <c r="A206" s="37"/>
      <c r="B206" s="38"/>
      <c r="C206" s="37"/>
      <c r="D206" s="31" t="str">
        <f aca="false">IF($C206="","",IFERROR(INDEX(Employee_Master!$B$5:$B$104,MATCH($C206,Employee_Master!$A$5:$A$104,0)),"ID not found"))</f>
        <v/>
      </c>
      <c r="E206" s="31" t="str">
        <f aca="false">IF($C206="","",IFERROR(INDEX(Employee_Master!$C$5:$C$104,MATCH($C206,Employee_Master!$A$5:$A$104,0)),"ID not found"))</f>
        <v/>
      </c>
      <c r="F206" s="37"/>
      <c r="G206" s="37"/>
      <c r="H206" s="31" t="str">
        <f aca="false">IF(OR(C206="",G206=""),"",IF(G206&lt;&gt;E206,"Yes","No"))</f>
        <v/>
      </c>
      <c r="I206" s="12"/>
      <c r="J206" s="12"/>
      <c r="K206" s="37"/>
      <c r="L206" s="31" t="str">
        <f aca="false">IF(F206="","",IFERROR(INDEX(Reference_Data!$P$5:$P$14,MATCH(F206,Reference_Data!$O$5:$O$14,0)),0))</f>
        <v/>
      </c>
      <c r="M206" s="37"/>
      <c r="N206" s="37"/>
      <c r="O206" s="38"/>
      <c r="P206" s="37"/>
      <c r="Q206" s="31" t="n">
        <f aca="false">IF(AND(N206="Approved",L206&lt;&gt;""),L206,0)</f>
        <v>0</v>
      </c>
      <c r="R206" s="12"/>
    </row>
    <row r="207" customFormat="false" ht="15" hidden="false" customHeight="false" outlineLevel="0" collapsed="false">
      <c r="A207" s="37"/>
      <c r="B207" s="38"/>
      <c r="C207" s="37"/>
      <c r="D207" s="31" t="str">
        <f aca="false">IF($C207="","",IFERROR(INDEX(Employee_Master!$B$5:$B$104,MATCH($C207,Employee_Master!$A$5:$A$104,0)),"ID not found"))</f>
        <v/>
      </c>
      <c r="E207" s="31" t="str">
        <f aca="false">IF($C207="","",IFERROR(INDEX(Employee_Master!$C$5:$C$104,MATCH($C207,Employee_Master!$A$5:$A$104,0)),"ID not found"))</f>
        <v/>
      </c>
      <c r="F207" s="37"/>
      <c r="G207" s="37"/>
      <c r="H207" s="31" t="str">
        <f aca="false">IF(OR(C207="",G207=""),"",IF(G207&lt;&gt;E207,"Yes","No"))</f>
        <v/>
      </c>
      <c r="I207" s="12"/>
      <c r="J207" s="12"/>
      <c r="K207" s="37"/>
      <c r="L207" s="31" t="str">
        <f aca="false">IF(F207="","",IFERROR(INDEX(Reference_Data!$P$5:$P$14,MATCH(F207,Reference_Data!$O$5:$O$14,0)),0))</f>
        <v/>
      </c>
      <c r="M207" s="37"/>
      <c r="N207" s="37"/>
      <c r="O207" s="38"/>
      <c r="P207" s="37"/>
      <c r="Q207" s="31" t="n">
        <f aca="false">IF(AND(N207="Approved",L207&lt;&gt;""),L207,0)</f>
        <v>0</v>
      </c>
      <c r="R207" s="12"/>
    </row>
    <row r="208" customFormat="false" ht="15" hidden="false" customHeight="false" outlineLevel="0" collapsed="false">
      <c r="A208" s="37"/>
      <c r="B208" s="38"/>
      <c r="C208" s="37"/>
      <c r="D208" s="31" t="str">
        <f aca="false">IF($C208="","",IFERROR(INDEX(Employee_Master!$B$5:$B$104,MATCH($C208,Employee_Master!$A$5:$A$104,0)),"ID not found"))</f>
        <v/>
      </c>
      <c r="E208" s="31" t="str">
        <f aca="false">IF($C208="","",IFERROR(INDEX(Employee_Master!$C$5:$C$104,MATCH($C208,Employee_Master!$A$5:$A$104,0)),"ID not found"))</f>
        <v/>
      </c>
      <c r="F208" s="37"/>
      <c r="G208" s="37"/>
      <c r="H208" s="31" t="str">
        <f aca="false">IF(OR(C208="",G208=""),"",IF(G208&lt;&gt;E208,"Yes","No"))</f>
        <v/>
      </c>
      <c r="I208" s="12"/>
      <c r="J208" s="12"/>
      <c r="K208" s="37"/>
      <c r="L208" s="31" t="str">
        <f aca="false">IF(F208="","",IFERROR(INDEX(Reference_Data!$P$5:$P$14,MATCH(F208,Reference_Data!$O$5:$O$14,0)),0))</f>
        <v/>
      </c>
      <c r="M208" s="37"/>
      <c r="N208" s="37"/>
      <c r="O208" s="38"/>
      <c r="P208" s="37"/>
      <c r="Q208" s="31" t="n">
        <f aca="false">IF(AND(N208="Approved",L208&lt;&gt;""),L208,0)</f>
        <v>0</v>
      </c>
      <c r="R208" s="12"/>
    </row>
    <row r="209" customFormat="false" ht="15" hidden="false" customHeight="false" outlineLevel="0" collapsed="false">
      <c r="A209" s="37"/>
      <c r="B209" s="38"/>
      <c r="C209" s="37"/>
      <c r="D209" s="31" t="str">
        <f aca="false">IF($C209="","",IFERROR(INDEX(Employee_Master!$B$5:$B$104,MATCH($C209,Employee_Master!$A$5:$A$104,0)),"ID not found"))</f>
        <v/>
      </c>
      <c r="E209" s="31" t="str">
        <f aca="false">IF($C209="","",IFERROR(INDEX(Employee_Master!$C$5:$C$104,MATCH($C209,Employee_Master!$A$5:$A$104,0)),"ID not found"))</f>
        <v/>
      </c>
      <c r="F209" s="37"/>
      <c r="G209" s="37"/>
      <c r="H209" s="31" t="str">
        <f aca="false">IF(OR(C209="",G209=""),"",IF(G209&lt;&gt;E209,"Yes","No"))</f>
        <v/>
      </c>
      <c r="I209" s="12"/>
      <c r="J209" s="12"/>
      <c r="K209" s="37"/>
      <c r="L209" s="31" t="str">
        <f aca="false">IF(F209="","",IFERROR(INDEX(Reference_Data!$P$5:$P$14,MATCH(F209,Reference_Data!$O$5:$O$14,0)),0))</f>
        <v/>
      </c>
      <c r="M209" s="37"/>
      <c r="N209" s="37"/>
      <c r="O209" s="38"/>
      <c r="P209" s="37"/>
      <c r="Q209" s="31" t="n">
        <f aca="false">IF(AND(N209="Approved",L209&lt;&gt;""),L209,0)</f>
        <v>0</v>
      </c>
      <c r="R209" s="12"/>
    </row>
    <row r="210" customFormat="false" ht="15" hidden="false" customHeight="false" outlineLevel="0" collapsed="false">
      <c r="A210" s="37"/>
      <c r="B210" s="38"/>
      <c r="C210" s="37"/>
      <c r="D210" s="31" t="str">
        <f aca="false">IF($C210="","",IFERROR(INDEX(Employee_Master!$B$5:$B$104,MATCH($C210,Employee_Master!$A$5:$A$104,0)),"ID not found"))</f>
        <v/>
      </c>
      <c r="E210" s="31" t="str">
        <f aca="false">IF($C210="","",IFERROR(INDEX(Employee_Master!$C$5:$C$104,MATCH($C210,Employee_Master!$A$5:$A$104,0)),"ID not found"))</f>
        <v/>
      </c>
      <c r="F210" s="37"/>
      <c r="G210" s="37"/>
      <c r="H210" s="31" t="str">
        <f aca="false">IF(OR(C210="",G210=""),"",IF(G210&lt;&gt;E210,"Yes","No"))</f>
        <v/>
      </c>
      <c r="I210" s="12"/>
      <c r="J210" s="12"/>
      <c r="K210" s="37"/>
      <c r="L210" s="31" t="str">
        <f aca="false">IF(F210="","",IFERROR(INDEX(Reference_Data!$P$5:$P$14,MATCH(F210,Reference_Data!$O$5:$O$14,0)),0))</f>
        <v/>
      </c>
      <c r="M210" s="37"/>
      <c r="N210" s="37"/>
      <c r="O210" s="38"/>
      <c r="P210" s="37"/>
      <c r="Q210" s="31" t="n">
        <f aca="false">IF(AND(N210="Approved",L210&lt;&gt;""),L210,0)</f>
        <v>0</v>
      </c>
      <c r="R210" s="12"/>
    </row>
    <row r="211" customFormat="false" ht="15" hidden="false" customHeight="false" outlineLevel="0" collapsed="false">
      <c r="A211" s="37"/>
      <c r="B211" s="38"/>
      <c r="C211" s="37"/>
      <c r="D211" s="31" t="str">
        <f aca="false">IF($C211="","",IFERROR(INDEX(Employee_Master!$B$5:$B$104,MATCH($C211,Employee_Master!$A$5:$A$104,0)),"ID not found"))</f>
        <v/>
      </c>
      <c r="E211" s="31" t="str">
        <f aca="false">IF($C211="","",IFERROR(INDEX(Employee_Master!$C$5:$C$104,MATCH($C211,Employee_Master!$A$5:$A$104,0)),"ID not found"))</f>
        <v/>
      </c>
      <c r="F211" s="37"/>
      <c r="G211" s="37"/>
      <c r="H211" s="31" t="str">
        <f aca="false">IF(OR(C211="",G211=""),"",IF(G211&lt;&gt;E211,"Yes","No"))</f>
        <v/>
      </c>
      <c r="I211" s="12"/>
      <c r="J211" s="12"/>
      <c r="K211" s="37"/>
      <c r="L211" s="31" t="str">
        <f aca="false">IF(F211="","",IFERROR(INDEX(Reference_Data!$P$5:$P$14,MATCH(F211,Reference_Data!$O$5:$O$14,0)),0))</f>
        <v/>
      </c>
      <c r="M211" s="37"/>
      <c r="N211" s="37"/>
      <c r="O211" s="38"/>
      <c r="P211" s="37"/>
      <c r="Q211" s="31" t="n">
        <f aca="false">IF(AND(N211="Approved",L211&lt;&gt;""),L211,0)</f>
        <v>0</v>
      </c>
      <c r="R211" s="12"/>
    </row>
    <row r="212" customFormat="false" ht="15" hidden="false" customHeight="false" outlineLevel="0" collapsed="false">
      <c r="A212" s="37"/>
      <c r="B212" s="38"/>
      <c r="C212" s="37"/>
      <c r="D212" s="31" t="str">
        <f aca="false">IF($C212="","",IFERROR(INDEX(Employee_Master!$B$5:$B$104,MATCH($C212,Employee_Master!$A$5:$A$104,0)),"ID not found"))</f>
        <v/>
      </c>
      <c r="E212" s="31" t="str">
        <f aca="false">IF($C212="","",IFERROR(INDEX(Employee_Master!$C$5:$C$104,MATCH($C212,Employee_Master!$A$5:$A$104,0)),"ID not found"))</f>
        <v/>
      </c>
      <c r="F212" s="37"/>
      <c r="G212" s="37"/>
      <c r="H212" s="31" t="str">
        <f aca="false">IF(OR(C212="",G212=""),"",IF(G212&lt;&gt;E212,"Yes","No"))</f>
        <v/>
      </c>
      <c r="I212" s="12"/>
      <c r="J212" s="12"/>
      <c r="K212" s="37"/>
      <c r="L212" s="31" t="str">
        <f aca="false">IF(F212="","",IFERROR(INDEX(Reference_Data!$P$5:$P$14,MATCH(F212,Reference_Data!$O$5:$O$14,0)),0))</f>
        <v/>
      </c>
      <c r="M212" s="37"/>
      <c r="N212" s="37"/>
      <c r="O212" s="38"/>
      <c r="P212" s="37"/>
      <c r="Q212" s="31" t="n">
        <f aca="false">IF(AND(N212="Approved",L212&lt;&gt;""),L212,0)</f>
        <v>0</v>
      </c>
      <c r="R212" s="12"/>
    </row>
    <row r="213" customFormat="false" ht="15" hidden="false" customHeight="false" outlineLevel="0" collapsed="false">
      <c r="A213" s="37"/>
      <c r="B213" s="38"/>
      <c r="C213" s="37"/>
      <c r="D213" s="31" t="str">
        <f aca="false">IF($C213="","",IFERROR(INDEX(Employee_Master!$B$5:$B$104,MATCH($C213,Employee_Master!$A$5:$A$104,0)),"ID not found"))</f>
        <v/>
      </c>
      <c r="E213" s="31" t="str">
        <f aca="false">IF($C213="","",IFERROR(INDEX(Employee_Master!$C$5:$C$104,MATCH($C213,Employee_Master!$A$5:$A$104,0)),"ID not found"))</f>
        <v/>
      </c>
      <c r="F213" s="37"/>
      <c r="G213" s="37"/>
      <c r="H213" s="31" t="str">
        <f aca="false">IF(OR(C213="",G213=""),"",IF(G213&lt;&gt;E213,"Yes","No"))</f>
        <v/>
      </c>
      <c r="I213" s="12"/>
      <c r="J213" s="12"/>
      <c r="K213" s="37"/>
      <c r="L213" s="31" t="str">
        <f aca="false">IF(F213="","",IFERROR(INDEX(Reference_Data!$P$5:$P$14,MATCH(F213,Reference_Data!$O$5:$O$14,0)),0))</f>
        <v/>
      </c>
      <c r="M213" s="37"/>
      <c r="N213" s="37"/>
      <c r="O213" s="38"/>
      <c r="P213" s="37"/>
      <c r="Q213" s="31" t="n">
        <f aca="false">IF(AND(N213="Approved",L213&lt;&gt;""),L213,0)</f>
        <v>0</v>
      </c>
      <c r="R213" s="12"/>
    </row>
    <row r="214" customFormat="false" ht="15" hidden="false" customHeight="false" outlineLevel="0" collapsed="false">
      <c r="A214" s="37"/>
      <c r="B214" s="38"/>
      <c r="C214" s="37"/>
      <c r="D214" s="31" t="str">
        <f aca="false">IF($C214="","",IFERROR(INDEX(Employee_Master!$B$5:$B$104,MATCH($C214,Employee_Master!$A$5:$A$104,0)),"ID not found"))</f>
        <v/>
      </c>
      <c r="E214" s="31" t="str">
        <f aca="false">IF($C214="","",IFERROR(INDEX(Employee_Master!$C$5:$C$104,MATCH($C214,Employee_Master!$A$5:$A$104,0)),"ID not found"))</f>
        <v/>
      </c>
      <c r="F214" s="37"/>
      <c r="G214" s="37"/>
      <c r="H214" s="31" t="str">
        <f aca="false">IF(OR(C214="",G214=""),"",IF(G214&lt;&gt;E214,"Yes","No"))</f>
        <v/>
      </c>
      <c r="I214" s="12"/>
      <c r="J214" s="12"/>
      <c r="K214" s="37"/>
      <c r="L214" s="31" t="str">
        <f aca="false">IF(F214="","",IFERROR(INDEX(Reference_Data!$P$5:$P$14,MATCH(F214,Reference_Data!$O$5:$O$14,0)),0))</f>
        <v/>
      </c>
      <c r="M214" s="37"/>
      <c r="N214" s="37"/>
      <c r="O214" s="38"/>
      <c r="P214" s="37"/>
      <c r="Q214" s="31" t="n">
        <f aca="false">IF(AND(N214="Approved",L214&lt;&gt;""),L214,0)</f>
        <v>0</v>
      </c>
      <c r="R214" s="12"/>
    </row>
    <row r="215" customFormat="false" ht="15" hidden="false" customHeight="false" outlineLevel="0" collapsed="false">
      <c r="A215" s="37"/>
      <c r="B215" s="38"/>
      <c r="C215" s="37"/>
      <c r="D215" s="31" t="str">
        <f aca="false">IF($C215="","",IFERROR(INDEX(Employee_Master!$B$5:$B$104,MATCH($C215,Employee_Master!$A$5:$A$104,0)),"ID not found"))</f>
        <v/>
      </c>
      <c r="E215" s="31" t="str">
        <f aca="false">IF($C215="","",IFERROR(INDEX(Employee_Master!$C$5:$C$104,MATCH($C215,Employee_Master!$A$5:$A$104,0)),"ID not found"))</f>
        <v/>
      </c>
      <c r="F215" s="37"/>
      <c r="G215" s="37"/>
      <c r="H215" s="31" t="str">
        <f aca="false">IF(OR(C215="",G215=""),"",IF(G215&lt;&gt;E215,"Yes","No"))</f>
        <v/>
      </c>
      <c r="I215" s="12"/>
      <c r="J215" s="12"/>
      <c r="K215" s="37"/>
      <c r="L215" s="31" t="str">
        <f aca="false">IF(F215="","",IFERROR(INDEX(Reference_Data!$P$5:$P$14,MATCH(F215,Reference_Data!$O$5:$O$14,0)),0))</f>
        <v/>
      </c>
      <c r="M215" s="37"/>
      <c r="N215" s="37"/>
      <c r="O215" s="38"/>
      <c r="P215" s="37"/>
      <c r="Q215" s="31" t="n">
        <f aca="false">IF(AND(N215="Approved",L215&lt;&gt;""),L215,0)</f>
        <v>0</v>
      </c>
      <c r="R215" s="12"/>
    </row>
    <row r="216" customFormat="false" ht="15" hidden="false" customHeight="false" outlineLevel="0" collapsed="false">
      <c r="A216" s="37"/>
      <c r="B216" s="38"/>
      <c r="C216" s="37"/>
      <c r="D216" s="31" t="str">
        <f aca="false">IF($C216="","",IFERROR(INDEX(Employee_Master!$B$5:$B$104,MATCH($C216,Employee_Master!$A$5:$A$104,0)),"ID not found"))</f>
        <v/>
      </c>
      <c r="E216" s="31" t="str">
        <f aca="false">IF($C216="","",IFERROR(INDEX(Employee_Master!$C$5:$C$104,MATCH($C216,Employee_Master!$A$5:$A$104,0)),"ID not found"))</f>
        <v/>
      </c>
      <c r="F216" s="37"/>
      <c r="G216" s="37"/>
      <c r="H216" s="31" t="str">
        <f aca="false">IF(OR(C216="",G216=""),"",IF(G216&lt;&gt;E216,"Yes","No"))</f>
        <v/>
      </c>
      <c r="I216" s="12"/>
      <c r="J216" s="12"/>
      <c r="K216" s="37"/>
      <c r="L216" s="31" t="str">
        <f aca="false">IF(F216="","",IFERROR(INDEX(Reference_Data!$P$5:$P$14,MATCH(F216,Reference_Data!$O$5:$O$14,0)),0))</f>
        <v/>
      </c>
      <c r="M216" s="37"/>
      <c r="N216" s="37"/>
      <c r="O216" s="38"/>
      <c r="P216" s="37"/>
      <c r="Q216" s="31" t="n">
        <f aca="false">IF(AND(N216="Approved",L216&lt;&gt;""),L216,0)</f>
        <v>0</v>
      </c>
      <c r="R216" s="12"/>
    </row>
    <row r="217" customFormat="false" ht="15" hidden="false" customHeight="false" outlineLevel="0" collapsed="false">
      <c r="A217" s="37"/>
      <c r="B217" s="38"/>
      <c r="C217" s="37"/>
      <c r="D217" s="31" t="str">
        <f aca="false">IF($C217="","",IFERROR(INDEX(Employee_Master!$B$5:$B$104,MATCH($C217,Employee_Master!$A$5:$A$104,0)),"ID not found"))</f>
        <v/>
      </c>
      <c r="E217" s="31" t="str">
        <f aca="false">IF($C217="","",IFERROR(INDEX(Employee_Master!$C$5:$C$104,MATCH($C217,Employee_Master!$A$5:$A$104,0)),"ID not found"))</f>
        <v/>
      </c>
      <c r="F217" s="37"/>
      <c r="G217" s="37"/>
      <c r="H217" s="31" t="str">
        <f aca="false">IF(OR(C217="",G217=""),"",IF(G217&lt;&gt;E217,"Yes","No"))</f>
        <v/>
      </c>
      <c r="I217" s="12"/>
      <c r="J217" s="12"/>
      <c r="K217" s="37"/>
      <c r="L217" s="31" t="str">
        <f aca="false">IF(F217="","",IFERROR(INDEX(Reference_Data!$P$5:$P$14,MATCH(F217,Reference_Data!$O$5:$O$14,0)),0))</f>
        <v/>
      </c>
      <c r="M217" s="37"/>
      <c r="N217" s="37"/>
      <c r="O217" s="38"/>
      <c r="P217" s="37"/>
      <c r="Q217" s="31" t="n">
        <f aca="false">IF(AND(N217="Approved",L217&lt;&gt;""),L217,0)</f>
        <v>0</v>
      </c>
      <c r="R217" s="12"/>
    </row>
    <row r="218" customFormat="false" ht="15" hidden="false" customHeight="false" outlineLevel="0" collapsed="false">
      <c r="A218" s="37"/>
      <c r="B218" s="38"/>
      <c r="C218" s="37"/>
      <c r="D218" s="31" t="str">
        <f aca="false">IF($C218="","",IFERROR(INDEX(Employee_Master!$B$5:$B$104,MATCH($C218,Employee_Master!$A$5:$A$104,0)),"ID not found"))</f>
        <v/>
      </c>
      <c r="E218" s="31" t="str">
        <f aca="false">IF($C218="","",IFERROR(INDEX(Employee_Master!$C$5:$C$104,MATCH($C218,Employee_Master!$A$5:$A$104,0)),"ID not found"))</f>
        <v/>
      </c>
      <c r="F218" s="37"/>
      <c r="G218" s="37"/>
      <c r="H218" s="31" t="str">
        <f aca="false">IF(OR(C218="",G218=""),"",IF(G218&lt;&gt;E218,"Yes","No"))</f>
        <v/>
      </c>
      <c r="I218" s="12"/>
      <c r="J218" s="12"/>
      <c r="K218" s="37"/>
      <c r="L218" s="31" t="str">
        <f aca="false">IF(F218="","",IFERROR(INDEX(Reference_Data!$P$5:$P$14,MATCH(F218,Reference_Data!$O$5:$O$14,0)),0))</f>
        <v/>
      </c>
      <c r="M218" s="37"/>
      <c r="N218" s="37"/>
      <c r="O218" s="38"/>
      <c r="P218" s="37"/>
      <c r="Q218" s="31" t="n">
        <f aca="false">IF(AND(N218="Approved",L218&lt;&gt;""),L218,0)</f>
        <v>0</v>
      </c>
      <c r="R218" s="12"/>
    </row>
    <row r="219" customFormat="false" ht="15" hidden="false" customHeight="false" outlineLevel="0" collapsed="false">
      <c r="A219" s="37"/>
      <c r="B219" s="38"/>
      <c r="C219" s="37"/>
      <c r="D219" s="31" t="str">
        <f aca="false">IF($C219="","",IFERROR(INDEX(Employee_Master!$B$5:$B$104,MATCH($C219,Employee_Master!$A$5:$A$104,0)),"ID not found"))</f>
        <v/>
      </c>
      <c r="E219" s="31" t="str">
        <f aca="false">IF($C219="","",IFERROR(INDEX(Employee_Master!$C$5:$C$104,MATCH($C219,Employee_Master!$A$5:$A$104,0)),"ID not found"))</f>
        <v/>
      </c>
      <c r="F219" s="37"/>
      <c r="G219" s="37"/>
      <c r="H219" s="31" t="str">
        <f aca="false">IF(OR(C219="",G219=""),"",IF(G219&lt;&gt;E219,"Yes","No"))</f>
        <v/>
      </c>
      <c r="I219" s="12"/>
      <c r="J219" s="12"/>
      <c r="K219" s="37"/>
      <c r="L219" s="31" t="str">
        <f aca="false">IF(F219="","",IFERROR(INDEX(Reference_Data!$P$5:$P$14,MATCH(F219,Reference_Data!$O$5:$O$14,0)),0))</f>
        <v/>
      </c>
      <c r="M219" s="37"/>
      <c r="N219" s="37"/>
      <c r="O219" s="38"/>
      <c r="P219" s="37"/>
      <c r="Q219" s="31" t="n">
        <f aca="false">IF(AND(N219="Approved",L219&lt;&gt;""),L219,0)</f>
        <v>0</v>
      </c>
      <c r="R219" s="12"/>
    </row>
    <row r="220" customFormat="false" ht="15" hidden="false" customHeight="false" outlineLevel="0" collapsed="false">
      <c r="A220" s="37"/>
      <c r="B220" s="38"/>
      <c r="C220" s="37"/>
      <c r="D220" s="31" t="str">
        <f aca="false">IF($C220="","",IFERROR(INDEX(Employee_Master!$B$5:$B$104,MATCH($C220,Employee_Master!$A$5:$A$104,0)),"ID not found"))</f>
        <v/>
      </c>
      <c r="E220" s="31" t="str">
        <f aca="false">IF($C220="","",IFERROR(INDEX(Employee_Master!$C$5:$C$104,MATCH($C220,Employee_Master!$A$5:$A$104,0)),"ID not found"))</f>
        <v/>
      </c>
      <c r="F220" s="37"/>
      <c r="G220" s="37"/>
      <c r="H220" s="31" t="str">
        <f aca="false">IF(OR(C220="",G220=""),"",IF(G220&lt;&gt;E220,"Yes","No"))</f>
        <v/>
      </c>
      <c r="I220" s="12"/>
      <c r="J220" s="12"/>
      <c r="K220" s="37"/>
      <c r="L220" s="31" t="str">
        <f aca="false">IF(F220="","",IFERROR(INDEX(Reference_Data!$P$5:$P$14,MATCH(F220,Reference_Data!$O$5:$O$14,0)),0))</f>
        <v/>
      </c>
      <c r="M220" s="37"/>
      <c r="N220" s="37"/>
      <c r="O220" s="38"/>
      <c r="P220" s="37"/>
      <c r="Q220" s="31" t="n">
        <f aca="false">IF(AND(N220="Approved",L220&lt;&gt;""),L220,0)</f>
        <v>0</v>
      </c>
      <c r="R220" s="12"/>
    </row>
    <row r="221" customFormat="false" ht="15" hidden="false" customHeight="false" outlineLevel="0" collapsed="false">
      <c r="A221" s="37"/>
      <c r="B221" s="38"/>
      <c r="C221" s="37"/>
      <c r="D221" s="31" t="str">
        <f aca="false">IF($C221="","",IFERROR(INDEX(Employee_Master!$B$5:$B$104,MATCH($C221,Employee_Master!$A$5:$A$104,0)),"ID not found"))</f>
        <v/>
      </c>
      <c r="E221" s="31" t="str">
        <f aca="false">IF($C221="","",IFERROR(INDEX(Employee_Master!$C$5:$C$104,MATCH($C221,Employee_Master!$A$5:$A$104,0)),"ID not found"))</f>
        <v/>
      </c>
      <c r="F221" s="37"/>
      <c r="G221" s="37"/>
      <c r="H221" s="31" t="str">
        <f aca="false">IF(OR(C221="",G221=""),"",IF(G221&lt;&gt;E221,"Yes","No"))</f>
        <v/>
      </c>
      <c r="I221" s="12"/>
      <c r="J221" s="12"/>
      <c r="K221" s="37"/>
      <c r="L221" s="31" t="str">
        <f aca="false">IF(F221="","",IFERROR(INDEX(Reference_Data!$P$5:$P$14,MATCH(F221,Reference_Data!$O$5:$O$14,0)),0))</f>
        <v/>
      </c>
      <c r="M221" s="37"/>
      <c r="N221" s="37"/>
      <c r="O221" s="38"/>
      <c r="P221" s="37"/>
      <c r="Q221" s="31" t="n">
        <f aca="false">IF(AND(N221="Approved",L221&lt;&gt;""),L221,0)</f>
        <v>0</v>
      </c>
      <c r="R221" s="12"/>
    </row>
    <row r="222" customFormat="false" ht="15" hidden="false" customHeight="false" outlineLevel="0" collapsed="false">
      <c r="A222" s="37"/>
      <c r="B222" s="38"/>
      <c r="C222" s="37"/>
      <c r="D222" s="31" t="str">
        <f aca="false">IF($C222="","",IFERROR(INDEX(Employee_Master!$B$5:$B$104,MATCH($C222,Employee_Master!$A$5:$A$104,0)),"ID not found"))</f>
        <v/>
      </c>
      <c r="E222" s="31" t="str">
        <f aca="false">IF($C222="","",IFERROR(INDEX(Employee_Master!$C$5:$C$104,MATCH($C222,Employee_Master!$A$5:$A$104,0)),"ID not found"))</f>
        <v/>
      </c>
      <c r="F222" s="37"/>
      <c r="G222" s="37"/>
      <c r="H222" s="31" t="str">
        <f aca="false">IF(OR(C222="",G222=""),"",IF(G222&lt;&gt;E222,"Yes","No"))</f>
        <v/>
      </c>
      <c r="I222" s="12"/>
      <c r="J222" s="12"/>
      <c r="K222" s="37"/>
      <c r="L222" s="31" t="str">
        <f aca="false">IF(F222="","",IFERROR(INDEX(Reference_Data!$P$5:$P$14,MATCH(F222,Reference_Data!$O$5:$O$14,0)),0))</f>
        <v/>
      </c>
      <c r="M222" s="37"/>
      <c r="N222" s="37"/>
      <c r="O222" s="38"/>
      <c r="P222" s="37"/>
      <c r="Q222" s="31" t="n">
        <f aca="false">IF(AND(N222="Approved",L222&lt;&gt;""),L222,0)</f>
        <v>0</v>
      </c>
      <c r="R222" s="12"/>
    </row>
    <row r="223" customFormat="false" ht="15" hidden="false" customHeight="false" outlineLevel="0" collapsed="false">
      <c r="A223" s="37"/>
      <c r="B223" s="38"/>
      <c r="C223" s="37"/>
      <c r="D223" s="31" t="str">
        <f aca="false">IF($C223="","",IFERROR(INDEX(Employee_Master!$B$5:$B$104,MATCH($C223,Employee_Master!$A$5:$A$104,0)),"ID not found"))</f>
        <v/>
      </c>
      <c r="E223" s="31" t="str">
        <f aca="false">IF($C223="","",IFERROR(INDEX(Employee_Master!$C$5:$C$104,MATCH($C223,Employee_Master!$A$5:$A$104,0)),"ID not found"))</f>
        <v/>
      </c>
      <c r="F223" s="37"/>
      <c r="G223" s="37"/>
      <c r="H223" s="31" t="str">
        <f aca="false">IF(OR(C223="",G223=""),"",IF(G223&lt;&gt;E223,"Yes","No"))</f>
        <v/>
      </c>
      <c r="I223" s="12"/>
      <c r="J223" s="12"/>
      <c r="K223" s="37"/>
      <c r="L223" s="31" t="str">
        <f aca="false">IF(F223="","",IFERROR(INDEX(Reference_Data!$P$5:$P$14,MATCH(F223,Reference_Data!$O$5:$O$14,0)),0))</f>
        <v/>
      </c>
      <c r="M223" s="37"/>
      <c r="N223" s="37"/>
      <c r="O223" s="38"/>
      <c r="P223" s="37"/>
      <c r="Q223" s="31" t="n">
        <f aca="false">IF(AND(N223="Approved",L223&lt;&gt;""),L223,0)</f>
        <v>0</v>
      </c>
      <c r="R223" s="12"/>
    </row>
    <row r="224" customFormat="false" ht="15" hidden="false" customHeight="false" outlineLevel="0" collapsed="false">
      <c r="A224" s="37"/>
      <c r="B224" s="38"/>
      <c r="C224" s="37"/>
      <c r="D224" s="31" t="str">
        <f aca="false">IF($C224="","",IFERROR(INDEX(Employee_Master!$B$5:$B$104,MATCH($C224,Employee_Master!$A$5:$A$104,0)),"ID not found"))</f>
        <v/>
      </c>
      <c r="E224" s="31" t="str">
        <f aca="false">IF($C224="","",IFERROR(INDEX(Employee_Master!$C$5:$C$104,MATCH($C224,Employee_Master!$A$5:$A$104,0)),"ID not found"))</f>
        <v/>
      </c>
      <c r="F224" s="37"/>
      <c r="G224" s="37"/>
      <c r="H224" s="31" t="str">
        <f aca="false">IF(OR(C224="",G224=""),"",IF(G224&lt;&gt;E224,"Yes","No"))</f>
        <v/>
      </c>
      <c r="I224" s="12"/>
      <c r="J224" s="12"/>
      <c r="K224" s="37"/>
      <c r="L224" s="31" t="str">
        <f aca="false">IF(F224="","",IFERROR(INDEX(Reference_Data!$P$5:$P$14,MATCH(F224,Reference_Data!$O$5:$O$14,0)),0))</f>
        <v/>
      </c>
      <c r="M224" s="37"/>
      <c r="N224" s="37"/>
      <c r="O224" s="38"/>
      <c r="P224" s="37"/>
      <c r="Q224" s="31" t="n">
        <f aca="false">IF(AND(N224="Approved",L224&lt;&gt;""),L224,0)</f>
        <v>0</v>
      </c>
      <c r="R224" s="12"/>
    </row>
    <row r="225" customFormat="false" ht="15" hidden="false" customHeight="false" outlineLevel="0" collapsed="false">
      <c r="A225" s="37"/>
      <c r="B225" s="38"/>
      <c r="C225" s="37"/>
      <c r="D225" s="31" t="str">
        <f aca="false">IF($C225="","",IFERROR(INDEX(Employee_Master!$B$5:$B$104,MATCH($C225,Employee_Master!$A$5:$A$104,0)),"ID not found"))</f>
        <v/>
      </c>
      <c r="E225" s="31" t="str">
        <f aca="false">IF($C225="","",IFERROR(INDEX(Employee_Master!$C$5:$C$104,MATCH($C225,Employee_Master!$A$5:$A$104,0)),"ID not found"))</f>
        <v/>
      </c>
      <c r="F225" s="37"/>
      <c r="G225" s="37"/>
      <c r="H225" s="31" t="str">
        <f aca="false">IF(OR(C225="",G225=""),"",IF(G225&lt;&gt;E225,"Yes","No"))</f>
        <v/>
      </c>
      <c r="I225" s="12"/>
      <c r="J225" s="12"/>
      <c r="K225" s="37"/>
      <c r="L225" s="31" t="str">
        <f aca="false">IF(F225="","",IFERROR(INDEX(Reference_Data!$P$5:$P$14,MATCH(F225,Reference_Data!$O$5:$O$14,0)),0))</f>
        <v/>
      </c>
      <c r="M225" s="37"/>
      <c r="N225" s="37"/>
      <c r="O225" s="38"/>
      <c r="P225" s="37"/>
      <c r="Q225" s="31" t="n">
        <f aca="false">IF(AND(N225="Approved",L225&lt;&gt;""),L225,0)</f>
        <v>0</v>
      </c>
      <c r="R225" s="12"/>
    </row>
    <row r="226" customFormat="false" ht="15" hidden="false" customHeight="false" outlineLevel="0" collapsed="false">
      <c r="A226" s="37"/>
      <c r="B226" s="38"/>
      <c r="C226" s="37"/>
      <c r="D226" s="31" t="str">
        <f aca="false">IF($C226="","",IFERROR(INDEX(Employee_Master!$B$5:$B$104,MATCH($C226,Employee_Master!$A$5:$A$104,0)),"ID not found"))</f>
        <v/>
      </c>
      <c r="E226" s="31" t="str">
        <f aca="false">IF($C226="","",IFERROR(INDEX(Employee_Master!$C$5:$C$104,MATCH($C226,Employee_Master!$A$5:$A$104,0)),"ID not found"))</f>
        <v/>
      </c>
      <c r="F226" s="37"/>
      <c r="G226" s="37"/>
      <c r="H226" s="31" t="str">
        <f aca="false">IF(OR(C226="",G226=""),"",IF(G226&lt;&gt;E226,"Yes","No"))</f>
        <v/>
      </c>
      <c r="I226" s="12"/>
      <c r="J226" s="12"/>
      <c r="K226" s="37"/>
      <c r="L226" s="31" t="str">
        <f aca="false">IF(F226="","",IFERROR(INDEX(Reference_Data!$P$5:$P$14,MATCH(F226,Reference_Data!$O$5:$O$14,0)),0))</f>
        <v/>
      </c>
      <c r="M226" s="37"/>
      <c r="N226" s="37"/>
      <c r="O226" s="38"/>
      <c r="P226" s="37"/>
      <c r="Q226" s="31" t="n">
        <f aca="false">IF(AND(N226="Approved",L226&lt;&gt;""),L226,0)</f>
        <v>0</v>
      </c>
      <c r="R226" s="12"/>
    </row>
    <row r="227" customFormat="false" ht="15" hidden="false" customHeight="false" outlineLevel="0" collapsed="false">
      <c r="A227" s="37"/>
      <c r="B227" s="38"/>
      <c r="C227" s="37"/>
      <c r="D227" s="31" t="str">
        <f aca="false">IF($C227="","",IFERROR(INDEX(Employee_Master!$B$5:$B$104,MATCH($C227,Employee_Master!$A$5:$A$104,0)),"ID not found"))</f>
        <v/>
      </c>
      <c r="E227" s="31" t="str">
        <f aca="false">IF($C227="","",IFERROR(INDEX(Employee_Master!$C$5:$C$104,MATCH($C227,Employee_Master!$A$5:$A$104,0)),"ID not found"))</f>
        <v/>
      </c>
      <c r="F227" s="37"/>
      <c r="G227" s="37"/>
      <c r="H227" s="31" t="str">
        <f aca="false">IF(OR(C227="",G227=""),"",IF(G227&lt;&gt;E227,"Yes","No"))</f>
        <v/>
      </c>
      <c r="I227" s="12"/>
      <c r="J227" s="12"/>
      <c r="K227" s="37"/>
      <c r="L227" s="31" t="str">
        <f aca="false">IF(F227="","",IFERROR(INDEX(Reference_Data!$P$5:$P$14,MATCH(F227,Reference_Data!$O$5:$O$14,0)),0))</f>
        <v/>
      </c>
      <c r="M227" s="37"/>
      <c r="N227" s="37"/>
      <c r="O227" s="38"/>
      <c r="P227" s="37"/>
      <c r="Q227" s="31" t="n">
        <f aca="false">IF(AND(N227="Approved",L227&lt;&gt;""),L227,0)</f>
        <v>0</v>
      </c>
      <c r="R227" s="12"/>
    </row>
    <row r="228" customFormat="false" ht="15" hidden="false" customHeight="false" outlineLevel="0" collapsed="false">
      <c r="A228" s="37"/>
      <c r="B228" s="38"/>
      <c r="C228" s="37"/>
      <c r="D228" s="31" t="str">
        <f aca="false">IF($C228="","",IFERROR(INDEX(Employee_Master!$B$5:$B$104,MATCH($C228,Employee_Master!$A$5:$A$104,0)),"ID not found"))</f>
        <v/>
      </c>
      <c r="E228" s="31" t="str">
        <f aca="false">IF($C228="","",IFERROR(INDEX(Employee_Master!$C$5:$C$104,MATCH($C228,Employee_Master!$A$5:$A$104,0)),"ID not found"))</f>
        <v/>
      </c>
      <c r="F228" s="37"/>
      <c r="G228" s="37"/>
      <c r="H228" s="31" t="str">
        <f aca="false">IF(OR(C228="",G228=""),"",IF(G228&lt;&gt;E228,"Yes","No"))</f>
        <v/>
      </c>
      <c r="I228" s="12"/>
      <c r="J228" s="12"/>
      <c r="K228" s="37"/>
      <c r="L228" s="31" t="str">
        <f aca="false">IF(F228="","",IFERROR(INDEX(Reference_Data!$P$5:$P$14,MATCH(F228,Reference_Data!$O$5:$O$14,0)),0))</f>
        <v/>
      </c>
      <c r="M228" s="37"/>
      <c r="N228" s="37"/>
      <c r="O228" s="38"/>
      <c r="P228" s="37"/>
      <c r="Q228" s="31" t="n">
        <f aca="false">IF(AND(N228="Approved",L228&lt;&gt;""),L228,0)</f>
        <v>0</v>
      </c>
      <c r="R228" s="12"/>
    </row>
    <row r="229" customFormat="false" ht="15" hidden="false" customHeight="false" outlineLevel="0" collapsed="false">
      <c r="A229" s="37"/>
      <c r="B229" s="38"/>
      <c r="C229" s="37"/>
      <c r="D229" s="31" t="str">
        <f aca="false">IF($C229="","",IFERROR(INDEX(Employee_Master!$B$5:$B$104,MATCH($C229,Employee_Master!$A$5:$A$104,0)),"ID not found"))</f>
        <v/>
      </c>
      <c r="E229" s="31" t="str">
        <f aca="false">IF($C229="","",IFERROR(INDEX(Employee_Master!$C$5:$C$104,MATCH($C229,Employee_Master!$A$5:$A$104,0)),"ID not found"))</f>
        <v/>
      </c>
      <c r="F229" s="37"/>
      <c r="G229" s="37"/>
      <c r="H229" s="31" t="str">
        <f aca="false">IF(OR(C229="",G229=""),"",IF(G229&lt;&gt;E229,"Yes","No"))</f>
        <v/>
      </c>
      <c r="I229" s="12"/>
      <c r="J229" s="12"/>
      <c r="K229" s="37"/>
      <c r="L229" s="31" t="str">
        <f aca="false">IF(F229="","",IFERROR(INDEX(Reference_Data!$P$5:$P$14,MATCH(F229,Reference_Data!$O$5:$O$14,0)),0))</f>
        <v/>
      </c>
      <c r="M229" s="37"/>
      <c r="N229" s="37"/>
      <c r="O229" s="38"/>
      <c r="P229" s="37"/>
      <c r="Q229" s="31" t="n">
        <f aca="false">IF(AND(N229="Approved",L229&lt;&gt;""),L229,0)</f>
        <v>0</v>
      </c>
      <c r="R229" s="12"/>
    </row>
    <row r="230" customFormat="false" ht="15" hidden="false" customHeight="false" outlineLevel="0" collapsed="false">
      <c r="A230" s="37"/>
      <c r="B230" s="38"/>
      <c r="C230" s="37"/>
      <c r="D230" s="31" t="str">
        <f aca="false">IF($C230="","",IFERROR(INDEX(Employee_Master!$B$5:$B$104,MATCH($C230,Employee_Master!$A$5:$A$104,0)),"ID not found"))</f>
        <v/>
      </c>
      <c r="E230" s="31" t="str">
        <f aca="false">IF($C230="","",IFERROR(INDEX(Employee_Master!$C$5:$C$104,MATCH($C230,Employee_Master!$A$5:$A$104,0)),"ID not found"))</f>
        <v/>
      </c>
      <c r="F230" s="37"/>
      <c r="G230" s="37"/>
      <c r="H230" s="31" t="str">
        <f aca="false">IF(OR(C230="",G230=""),"",IF(G230&lt;&gt;E230,"Yes","No"))</f>
        <v/>
      </c>
      <c r="I230" s="12"/>
      <c r="J230" s="12"/>
      <c r="K230" s="37"/>
      <c r="L230" s="31" t="str">
        <f aca="false">IF(F230="","",IFERROR(INDEX(Reference_Data!$P$5:$P$14,MATCH(F230,Reference_Data!$O$5:$O$14,0)),0))</f>
        <v/>
      </c>
      <c r="M230" s="37"/>
      <c r="N230" s="37"/>
      <c r="O230" s="38"/>
      <c r="P230" s="37"/>
      <c r="Q230" s="31" t="n">
        <f aca="false">IF(AND(N230="Approved",L230&lt;&gt;""),L230,0)</f>
        <v>0</v>
      </c>
      <c r="R230" s="12"/>
    </row>
    <row r="231" customFormat="false" ht="15" hidden="false" customHeight="false" outlineLevel="0" collapsed="false">
      <c r="A231" s="37"/>
      <c r="B231" s="38"/>
      <c r="C231" s="37"/>
      <c r="D231" s="31" t="str">
        <f aca="false">IF($C231="","",IFERROR(INDEX(Employee_Master!$B$5:$B$104,MATCH($C231,Employee_Master!$A$5:$A$104,0)),"ID not found"))</f>
        <v/>
      </c>
      <c r="E231" s="31" t="str">
        <f aca="false">IF($C231="","",IFERROR(INDEX(Employee_Master!$C$5:$C$104,MATCH($C231,Employee_Master!$A$5:$A$104,0)),"ID not found"))</f>
        <v/>
      </c>
      <c r="F231" s="37"/>
      <c r="G231" s="37"/>
      <c r="H231" s="31" t="str">
        <f aca="false">IF(OR(C231="",G231=""),"",IF(G231&lt;&gt;E231,"Yes","No"))</f>
        <v/>
      </c>
      <c r="I231" s="12"/>
      <c r="J231" s="12"/>
      <c r="K231" s="37"/>
      <c r="L231" s="31" t="str">
        <f aca="false">IF(F231="","",IFERROR(INDEX(Reference_Data!$P$5:$P$14,MATCH(F231,Reference_Data!$O$5:$O$14,0)),0))</f>
        <v/>
      </c>
      <c r="M231" s="37"/>
      <c r="N231" s="37"/>
      <c r="O231" s="38"/>
      <c r="P231" s="37"/>
      <c r="Q231" s="31" t="n">
        <f aca="false">IF(AND(N231="Approved",L231&lt;&gt;""),L231,0)</f>
        <v>0</v>
      </c>
      <c r="R231" s="12"/>
    </row>
    <row r="232" customFormat="false" ht="15" hidden="false" customHeight="false" outlineLevel="0" collapsed="false">
      <c r="A232" s="37"/>
      <c r="B232" s="38"/>
      <c r="C232" s="37"/>
      <c r="D232" s="31" t="str">
        <f aca="false">IF($C232="","",IFERROR(INDEX(Employee_Master!$B$5:$B$104,MATCH($C232,Employee_Master!$A$5:$A$104,0)),"ID not found"))</f>
        <v/>
      </c>
      <c r="E232" s="31" t="str">
        <f aca="false">IF($C232="","",IFERROR(INDEX(Employee_Master!$C$5:$C$104,MATCH($C232,Employee_Master!$A$5:$A$104,0)),"ID not found"))</f>
        <v/>
      </c>
      <c r="F232" s="37"/>
      <c r="G232" s="37"/>
      <c r="H232" s="31" t="str">
        <f aca="false">IF(OR(C232="",G232=""),"",IF(G232&lt;&gt;E232,"Yes","No"))</f>
        <v/>
      </c>
      <c r="I232" s="12"/>
      <c r="J232" s="12"/>
      <c r="K232" s="37"/>
      <c r="L232" s="31" t="str">
        <f aca="false">IF(F232="","",IFERROR(INDEX(Reference_Data!$P$5:$P$14,MATCH(F232,Reference_Data!$O$5:$O$14,0)),0))</f>
        <v/>
      </c>
      <c r="M232" s="37"/>
      <c r="N232" s="37"/>
      <c r="O232" s="38"/>
      <c r="P232" s="37"/>
      <c r="Q232" s="31" t="n">
        <f aca="false">IF(AND(N232="Approved",L232&lt;&gt;""),L232,0)</f>
        <v>0</v>
      </c>
      <c r="R232" s="12"/>
    </row>
    <row r="233" customFormat="false" ht="15" hidden="false" customHeight="false" outlineLevel="0" collapsed="false">
      <c r="A233" s="37"/>
      <c r="B233" s="38"/>
      <c r="C233" s="37"/>
      <c r="D233" s="31" t="str">
        <f aca="false">IF($C233="","",IFERROR(INDEX(Employee_Master!$B$5:$B$104,MATCH($C233,Employee_Master!$A$5:$A$104,0)),"ID not found"))</f>
        <v/>
      </c>
      <c r="E233" s="31" t="str">
        <f aca="false">IF($C233="","",IFERROR(INDEX(Employee_Master!$C$5:$C$104,MATCH($C233,Employee_Master!$A$5:$A$104,0)),"ID not found"))</f>
        <v/>
      </c>
      <c r="F233" s="37"/>
      <c r="G233" s="37"/>
      <c r="H233" s="31" t="str">
        <f aca="false">IF(OR(C233="",G233=""),"",IF(G233&lt;&gt;E233,"Yes","No"))</f>
        <v/>
      </c>
      <c r="I233" s="12"/>
      <c r="J233" s="12"/>
      <c r="K233" s="37"/>
      <c r="L233" s="31" t="str">
        <f aca="false">IF(F233="","",IFERROR(INDEX(Reference_Data!$P$5:$P$14,MATCH(F233,Reference_Data!$O$5:$O$14,0)),0))</f>
        <v/>
      </c>
      <c r="M233" s="37"/>
      <c r="N233" s="37"/>
      <c r="O233" s="38"/>
      <c r="P233" s="37"/>
      <c r="Q233" s="31" t="n">
        <f aca="false">IF(AND(N233="Approved",L233&lt;&gt;""),L233,0)</f>
        <v>0</v>
      </c>
      <c r="R233" s="12"/>
    </row>
    <row r="234" customFormat="false" ht="15" hidden="false" customHeight="false" outlineLevel="0" collapsed="false">
      <c r="A234" s="37"/>
      <c r="B234" s="38"/>
      <c r="C234" s="37"/>
      <c r="D234" s="31" t="str">
        <f aca="false">IF($C234="","",IFERROR(INDEX(Employee_Master!$B$5:$B$104,MATCH($C234,Employee_Master!$A$5:$A$104,0)),"ID not found"))</f>
        <v/>
      </c>
      <c r="E234" s="31" t="str">
        <f aca="false">IF($C234="","",IFERROR(INDEX(Employee_Master!$C$5:$C$104,MATCH($C234,Employee_Master!$A$5:$A$104,0)),"ID not found"))</f>
        <v/>
      </c>
      <c r="F234" s="37"/>
      <c r="G234" s="37"/>
      <c r="H234" s="31" t="str">
        <f aca="false">IF(OR(C234="",G234=""),"",IF(G234&lt;&gt;E234,"Yes","No"))</f>
        <v/>
      </c>
      <c r="I234" s="12"/>
      <c r="J234" s="12"/>
      <c r="K234" s="37"/>
      <c r="L234" s="31" t="str">
        <f aca="false">IF(F234="","",IFERROR(INDEX(Reference_Data!$P$5:$P$14,MATCH(F234,Reference_Data!$O$5:$O$14,0)),0))</f>
        <v/>
      </c>
      <c r="M234" s="37"/>
      <c r="N234" s="37"/>
      <c r="O234" s="38"/>
      <c r="P234" s="37"/>
      <c r="Q234" s="31" t="n">
        <f aca="false">IF(AND(N234="Approved",L234&lt;&gt;""),L234,0)</f>
        <v>0</v>
      </c>
      <c r="R234" s="12"/>
    </row>
    <row r="235" customFormat="false" ht="15" hidden="false" customHeight="false" outlineLevel="0" collapsed="false">
      <c r="A235" s="37"/>
      <c r="B235" s="38"/>
      <c r="C235" s="37"/>
      <c r="D235" s="31" t="str">
        <f aca="false">IF($C235="","",IFERROR(INDEX(Employee_Master!$B$5:$B$104,MATCH($C235,Employee_Master!$A$5:$A$104,0)),"ID not found"))</f>
        <v/>
      </c>
      <c r="E235" s="31" t="str">
        <f aca="false">IF($C235="","",IFERROR(INDEX(Employee_Master!$C$5:$C$104,MATCH($C235,Employee_Master!$A$5:$A$104,0)),"ID not found"))</f>
        <v/>
      </c>
      <c r="F235" s="37"/>
      <c r="G235" s="37"/>
      <c r="H235" s="31" t="str">
        <f aca="false">IF(OR(C235="",G235=""),"",IF(G235&lt;&gt;E235,"Yes","No"))</f>
        <v/>
      </c>
      <c r="I235" s="12"/>
      <c r="J235" s="12"/>
      <c r="K235" s="37"/>
      <c r="L235" s="31" t="str">
        <f aca="false">IF(F235="","",IFERROR(INDEX(Reference_Data!$P$5:$P$14,MATCH(F235,Reference_Data!$O$5:$O$14,0)),0))</f>
        <v/>
      </c>
      <c r="M235" s="37"/>
      <c r="N235" s="37"/>
      <c r="O235" s="38"/>
      <c r="P235" s="37"/>
      <c r="Q235" s="31" t="n">
        <f aca="false">IF(AND(N235="Approved",L235&lt;&gt;""),L235,0)</f>
        <v>0</v>
      </c>
      <c r="R235" s="12"/>
    </row>
    <row r="236" customFormat="false" ht="15" hidden="false" customHeight="false" outlineLevel="0" collapsed="false">
      <c r="A236" s="37"/>
      <c r="B236" s="38"/>
      <c r="C236" s="37"/>
      <c r="D236" s="31" t="str">
        <f aca="false">IF($C236="","",IFERROR(INDEX(Employee_Master!$B$5:$B$104,MATCH($C236,Employee_Master!$A$5:$A$104,0)),"ID not found"))</f>
        <v/>
      </c>
      <c r="E236" s="31" t="str">
        <f aca="false">IF($C236="","",IFERROR(INDEX(Employee_Master!$C$5:$C$104,MATCH($C236,Employee_Master!$A$5:$A$104,0)),"ID not found"))</f>
        <v/>
      </c>
      <c r="F236" s="37"/>
      <c r="G236" s="37"/>
      <c r="H236" s="31" t="str">
        <f aca="false">IF(OR(C236="",G236=""),"",IF(G236&lt;&gt;E236,"Yes","No"))</f>
        <v/>
      </c>
      <c r="I236" s="12"/>
      <c r="J236" s="12"/>
      <c r="K236" s="37"/>
      <c r="L236" s="31" t="str">
        <f aca="false">IF(F236="","",IFERROR(INDEX(Reference_Data!$P$5:$P$14,MATCH(F236,Reference_Data!$O$5:$O$14,0)),0))</f>
        <v/>
      </c>
      <c r="M236" s="37"/>
      <c r="N236" s="37"/>
      <c r="O236" s="38"/>
      <c r="P236" s="37"/>
      <c r="Q236" s="31" t="n">
        <f aca="false">IF(AND(N236="Approved",L236&lt;&gt;""),L236,0)</f>
        <v>0</v>
      </c>
      <c r="R236" s="12"/>
    </row>
    <row r="237" customFormat="false" ht="15" hidden="false" customHeight="false" outlineLevel="0" collapsed="false">
      <c r="A237" s="37"/>
      <c r="B237" s="38"/>
      <c r="C237" s="37"/>
      <c r="D237" s="31" t="str">
        <f aca="false">IF($C237="","",IFERROR(INDEX(Employee_Master!$B$5:$B$104,MATCH($C237,Employee_Master!$A$5:$A$104,0)),"ID not found"))</f>
        <v/>
      </c>
      <c r="E237" s="31" t="str">
        <f aca="false">IF($C237="","",IFERROR(INDEX(Employee_Master!$C$5:$C$104,MATCH($C237,Employee_Master!$A$5:$A$104,0)),"ID not found"))</f>
        <v/>
      </c>
      <c r="F237" s="37"/>
      <c r="G237" s="37"/>
      <c r="H237" s="31" t="str">
        <f aca="false">IF(OR(C237="",G237=""),"",IF(G237&lt;&gt;E237,"Yes","No"))</f>
        <v/>
      </c>
      <c r="I237" s="12"/>
      <c r="J237" s="12"/>
      <c r="K237" s="37"/>
      <c r="L237" s="31" t="str">
        <f aca="false">IF(F237="","",IFERROR(INDEX(Reference_Data!$P$5:$P$14,MATCH(F237,Reference_Data!$O$5:$O$14,0)),0))</f>
        <v/>
      </c>
      <c r="M237" s="37"/>
      <c r="N237" s="37"/>
      <c r="O237" s="38"/>
      <c r="P237" s="37"/>
      <c r="Q237" s="31" t="n">
        <f aca="false">IF(AND(N237="Approved",L237&lt;&gt;""),L237,0)</f>
        <v>0</v>
      </c>
      <c r="R237" s="12"/>
    </row>
    <row r="238" customFormat="false" ht="15" hidden="false" customHeight="false" outlineLevel="0" collapsed="false">
      <c r="A238" s="37"/>
      <c r="B238" s="38"/>
      <c r="C238" s="37"/>
      <c r="D238" s="31" t="str">
        <f aca="false">IF($C238="","",IFERROR(INDEX(Employee_Master!$B$5:$B$104,MATCH($C238,Employee_Master!$A$5:$A$104,0)),"ID not found"))</f>
        <v/>
      </c>
      <c r="E238" s="31" t="str">
        <f aca="false">IF($C238="","",IFERROR(INDEX(Employee_Master!$C$5:$C$104,MATCH($C238,Employee_Master!$A$5:$A$104,0)),"ID not found"))</f>
        <v/>
      </c>
      <c r="F238" s="37"/>
      <c r="G238" s="37"/>
      <c r="H238" s="31" t="str">
        <f aca="false">IF(OR(C238="",G238=""),"",IF(G238&lt;&gt;E238,"Yes","No"))</f>
        <v/>
      </c>
      <c r="I238" s="12"/>
      <c r="J238" s="12"/>
      <c r="K238" s="37"/>
      <c r="L238" s="31" t="str">
        <f aca="false">IF(F238="","",IFERROR(INDEX(Reference_Data!$P$5:$P$14,MATCH(F238,Reference_Data!$O$5:$O$14,0)),0))</f>
        <v/>
      </c>
      <c r="M238" s="37"/>
      <c r="N238" s="37"/>
      <c r="O238" s="38"/>
      <c r="P238" s="37"/>
      <c r="Q238" s="31" t="n">
        <f aca="false">IF(AND(N238="Approved",L238&lt;&gt;""),L238,0)</f>
        <v>0</v>
      </c>
      <c r="R238" s="12"/>
    </row>
    <row r="239" customFormat="false" ht="15" hidden="false" customHeight="false" outlineLevel="0" collapsed="false">
      <c r="A239" s="37"/>
      <c r="B239" s="38"/>
      <c r="C239" s="37"/>
      <c r="D239" s="31" t="str">
        <f aca="false">IF($C239="","",IFERROR(INDEX(Employee_Master!$B$5:$B$104,MATCH($C239,Employee_Master!$A$5:$A$104,0)),"ID not found"))</f>
        <v/>
      </c>
      <c r="E239" s="31" t="str">
        <f aca="false">IF($C239="","",IFERROR(INDEX(Employee_Master!$C$5:$C$104,MATCH($C239,Employee_Master!$A$5:$A$104,0)),"ID not found"))</f>
        <v/>
      </c>
      <c r="F239" s="37"/>
      <c r="G239" s="37"/>
      <c r="H239" s="31" t="str">
        <f aca="false">IF(OR(C239="",G239=""),"",IF(G239&lt;&gt;E239,"Yes","No"))</f>
        <v/>
      </c>
      <c r="I239" s="12"/>
      <c r="J239" s="12"/>
      <c r="K239" s="37"/>
      <c r="L239" s="31" t="str">
        <f aca="false">IF(F239="","",IFERROR(INDEX(Reference_Data!$P$5:$P$14,MATCH(F239,Reference_Data!$O$5:$O$14,0)),0))</f>
        <v/>
      </c>
      <c r="M239" s="37"/>
      <c r="N239" s="37"/>
      <c r="O239" s="38"/>
      <c r="P239" s="37"/>
      <c r="Q239" s="31" t="n">
        <f aca="false">IF(AND(N239="Approved",L239&lt;&gt;""),L239,0)</f>
        <v>0</v>
      </c>
      <c r="R239" s="12"/>
    </row>
    <row r="240" customFormat="false" ht="15" hidden="false" customHeight="false" outlineLevel="0" collapsed="false">
      <c r="A240" s="37"/>
      <c r="B240" s="38"/>
      <c r="C240" s="37"/>
      <c r="D240" s="31" t="str">
        <f aca="false">IF($C240="","",IFERROR(INDEX(Employee_Master!$B$5:$B$104,MATCH($C240,Employee_Master!$A$5:$A$104,0)),"ID not found"))</f>
        <v/>
      </c>
      <c r="E240" s="31" t="str">
        <f aca="false">IF($C240="","",IFERROR(INDEX(Employee_Master!$C$5:$C$104,MATCH($C240,Employee_Master!$A$5:$A$104,0)),"ID not found"))</f>
        <v/>
      </c>
      <c r="F240" s="37"/>
      <c r="G240" s="37"/>
      <c r="H240" s="31" t="str">
        <f aca="false">IF(OR(C240="",G240=""),"",IF(G240&lt;&gt;E240,"Yes","No"))</f>
        <v/>
      </c>
      <c r="I240" s="12"/>
      <c r="J240" s="12"/>
      <c r="K240" s="37"/>
      <c r="L240" s="31" t="str">
        <f aca="false">IF(F240="","",IFERROR(INDEX(Reference_Data!$P$5:$P$14,MATCH(F240,Reference_Data!$O$5:$O$14,0)),0))</f>
        <v/>
      </c>
      <c r="M240" s="37"/>
      <c r="N240" s="37"/>
      <c r="O240" s="38"/>
      <c r="P240" s="37"/>
      <c r="Q240" s="31" t="n">
        <f aca="false">IF(AND(N240="Approved",L240&lt;&gt;""),L240,0)</f>
        <v>0</v>
      </c>
      <c r="R240" s="12"/>
    </row>
    <row r="241" customFormat="false" ht="15" hidden="false" customHeight="false" outlineLevel="0" collapsed="false">
      <c r="A241" s="37"/>
      <c r="B241" s="38"/>
      <c r="C241" s="37"/>
      <c r="D241" s="31" t="str">
        <f aca="false">IF($C241="","",IFERROR(INDEX(Employee_Master!$B$5:$B$104,MATCH($C241,Employee_Master!$A$5:$A$104,0)),"ID not found"))</f>
        <v/>
      </c>
      <c r="E241" s="31" t="str">
        <f aca="false">IF($C241="","",IFERROR(INDEX(Employee_Master!$C$5:$C$104,MATCH($C241,Employee_Master!$A$5:$A$104,0)),"ID not found"))</f>
        <v/>
      </c>
      <c r="F241" s="37"/>
      <c r="G241" s="37"/>
      <c r="H241" s="31" t="str">
        <f aca="false">IF(OR(C241="",G241=""),"",IF(G241&lt;&gt;E241,"Yes","No"))</f>
        <v/>
      </c>
      <c r="I241" s="12"/>
      <c r="J241" s="12"/>
      <c r="K241" s="37"/>
      <c r="L241" s="31" t="str">
        <f aca="false">IF(F241="","",IFERROR(INDEX(Reference_Data!$P$5:$P$14,MATCH(F241,Reference_Data!$O$5:$O$14,0)),0))</f>
        <v/>
      </c>
      <c r="M241" s="37"/>
      <c r="N241" s="37"/>
      <c r="O241" s="38"/>
      <c r="P241" s="37"/>
      <c r="Q241" s="31" t="n">
        <f aca="false">IF(AND(N241="Approved",L241&lt;&gt;""),L241,0)</f>
        <v>0</v>
      </c>
      <c r="R241" s="12"/>
    </row>
    <row r="242" customFormat="false" ht="15" hidden="false" customHeight="false" outlineLevel="0" collapsed="false">
      <c r="A242" s="37"/>
      <c r="B242" s="38"/>
      <c r="C242" s="37"/>
      <c r="D242" s="31" t="str">
        <f aca="false">IF($C242="","",IFERROR(INDEX(Employee_Master!$B$5:$B$104,MATCH($C242,Employee_Master!$A$5:$A$104,0)),"ID not found"))</f>
        <v/>
      </c>
      <c r="E242" s="31" t="str">
        <f aca="false">IF($C242="","",IFERROR(INDEX(Employee_Master!$C$5:$C$104,MATCH($C242,Employee_Master!$A$5:$A$104,0)),"ID not found"))</f>
        <v/>
      </c>
      <c r="F242" s="37"/>
      <c r="G242" s="37"/>
      <c r="H242" s="31" t="str">
        <f aca="false">IF(OR(C242="",G242=""),"",IF(G242&lt;&gt;E242,"Yes","No"))</f>
        <v/>
      </c>
      <c r="I242" s="12"/>
      <c r="J242" s="12"/>
      <c r="K242" s="37"/>
      <c r="L242" s="31" t="str">
        <f aca="false">IF(F242="","",IFERROR(INDEX(Reference_Data!$P$5:$P$14,MATCH(F242,Reference_Data!$O$5:$O$14,0)),0))</f>
        <v/>
      </c>
      <c r="M242" s="37"/>
      <c r="N242" s="37"/>
      <c r="O242" s="38"/>
      <c r="P242" s="37"/>
      <c r="Q242" s="31" t="n">
        <f aca="false">IF(AND(N242="Approved",L242&lt;&gt;""),L242,0)</f>
        <v>0</v>
      </c>
      <c r="R242" s="12"/>
    </row>
    <row r="243" customFormat="false" ht="15" hidden="false" customHeight="false" outlineLevel="0" collapsed="false">
      <c r="A243" s="37"/>
      <c r="B243" s="38"/>
      <c r="C243" s="37"/>
      <c r="D243" s="31" t="str">
        <f aca="false">IF($C243="","",IFERROR(INDEX(Employee_Master!$B$5:$B$104,MATCH($C243,Employee_Master!$A$5:$A$104,0)),"ID not found"))</f>
        <v/>
      </c>
      <c r="E243" s="31" t="str">
        <f aca="false">IF($C243="","",IFERROR(INDEX(Employee_Master!$C$5:$C$104,MATCH($C243,Employee_Master!$A$5:$A$104,0)),"ID not found"))</f>
        <v/>
      </c>
      <c r="F243" s="37"/>
      <c r="G243" s="37"/>
      <c r="H243" s="31" t="str">
        <f aca="false">IF(OR(C243="",G243=""),"",IF(G243&lt;&gt;E243,"Yes","No"))</f>
        <v/>
      </c>
      <c r="I243" s="12"/>
      <c r="J243" s="12"/>
      <c r="K243" s="37"/>
      <c r="L243" s="31" t="str">
        <f aca="false">IF(F243="","",IFERROR(INDEX(Reference_Data!$P$5:$P$14,MATCH(F243,Reference_Data!$O$5:$O$14,0)),0))</f>
        <v/>
      </c>
      <c r="M243" s="37"/>
      <c r="N243" s="37"/>
      <c r="O243" s="38"/>
      <c r="P243" s="37"/>
      <c r="Q243" s="31" t="n">
        <f aca="false">IF(AND(N243="Approved",L243&lt;&gt;""),L243,0)</f>
        <v>0</v>
      </c>
      <c r="R243" s="12"/>
    </row>
    <row r="244" customFormat="false" ht="15" hidden="false" customHeight="false" outlineLevel="0" collapsed="false">
      <c r="A244" s="37"/>
      <c r="B244" s="38"/>
      <c r="C244" s="37"/>
      <c r="D244" s="31" t="str">
        <f aca="false">IF($C244="","",IFERROR(INDEX(Employee_Master!$B$5:$B$104,MATCH($C244,Employee_Master!$A$5:$A$104,0)),"ID not found"))</f>
        <v/>
      </c>
      <c r="E244" s="31" t="str">
        <f aca="false">IF($C244="","",IFERROR(INDEX(Employee_Master!$C$5:$C$104,MATCH($C244,Employee_Master!$A$5:$A$104,0)),"ID not found"))</f>
        <v/>
      </c>
      <c r="F244" s="37"/>
      <c r="G244" s="37"/>
      <c r="H244" s="31" t="str">
        <f aca="false">IF(OR(C244="",G244=""),"",IF(G244&lt;&gt;E244,"Yes","No"))</f>
        <v/>
      </c>
      <c r="I244" s="12"/>
      <c r="J244" s="12"/>
      <c r="K244" s="37"/>
      <c r="L244" s="31" t="str">
        <f aca="false">IF(F244="","",IFERROR(INDEX(Reference_Data!$P$5:$P$14,MATCH(F244,Reference_Data!$O$5:$O$14,0)),0))</f>
        <v/>
      </c>
      <c r="M244" s="37"/>
      <c r="N244" s="37"/>
      <c r="O244" s="38"/>
      <c r="P244" s="37"/>
      <c r="Q244" s="31" t="n">
        <f aca="false">IF(AND(N244="Approved",L244&lt;&gt;""),L244,0)</f>
        <v>0</v>
      </c>
      <c r="R244" s="12"/>
    </row>
    <row r="245" customFormat="false" ht="15" hidden="false" customHeight="false" outlineLevel="0" collapsed="false">
      <c r="A245" s="37"/>
      <c r="B245" s="38"/>
      <c r="C245" s="37"/>
      <c r="D245" s="31" t="str">
        <f aca="false">IF($C245="","",IFERROR(INDEX(Employee_Master!$B$5:$B$104,MATCH($C245,Employee_Master!$A$5:$A$104,0)),"ID not found"))</f>
        <v/>
      </c>
      <c r="E245" s="31" t="str">
        <f aca="false">IF($C245="","",IFERROR(INDEX(Employee_Master!$C$5:$C$104,MATCH($C245,Employee_Master!$A$5:$A$104,0)),"ID not found"))</f>
        <v/>
      </c>
      <c r="F245" s="37"/>
      <c r="G245" s="37"/>
      <c r="H245" s="31" t="str">
        <f aca="false">IF(OR(C245="",G245=""),"",IF(G245&lt;&gt;E245,"Yes","No"))</f>
        <v/>
      </c>
      <c r="I245" s="12"/>
      <c r="J245" s="12"/>
      <c r="K245" s="37"/>
      <c r="L245" s="31" t="str">
        <f aca="false">IF(F245="","",IFERROR(INDEX(Reference_Data!$P$5:$P$14,MATCH(F245,Reference_Data!$O$5:$O$14,0)),0))</f>
        <v/>
      </c>
      <c r="M245" s="37"/>
      <c r="N245" s="37"/>
      <c r="O245" s="38"/>
      <c r="P245" s="37"/>
      <c r="Q245" s="31" t="n">
        <f aca="false">IF(AND(N245="Approved",L245&lt;&gt;""),L245,0)</f>
        <v>0</v>
      </c>
      <c r="R245" s="12"/>
    </row>
    <row r="246" customFormat="false" ht="15" hidden="false" customHeight="false" outlineLevel="0" collapsed="false">
      <c r="A246" s="37"/>
      <c r="B246" s="38"/>
      <c r="C246" s="37"/>
      <c r="D246" s="31" t="str">
        <f aca="false">IF($C246="","",IFERROR(INDEX(Employee_Master!$B$5:$B$104,MATCH($C246,Employee_Master!$A$5:$A$104,0)),"ID not found"))</f>
        <v/>
      </c>
      <c r="E246" s="31" t="str">
        <f aca="false">IF($C246="","",IFERROR(INDEX(Employee_Master!$C$5:$C$104,MATCH($C246,Employee_Master!$A$5:$A$104,0)),"ID not found"))</f>
        <v/>
      </c>
      <c r="F246" s="37"/>
      <c r="G246" s="37"/>
      <c r="H246" s="31" t="str">
        <f aca="false">IF(OR(C246="",G246=""),"",IF(G246&lt;&gt;E246,"Yes","No"))</f>
        <v/>
      </c>
      <c r="I246" s="12"/>
      <c r="J246" s="12"/>
      <c r="K246" s="37"/>
      <c r="L246" s="31" t="str">
        <f aca="false">IF(F246="","",IFERROR(INDEX(Reference_Data!$P$5:$P$14,MATCH(F246,Reference_Data!$O$5:$O$14,0)),0))</f>
        <v/>
      </c>
      <c r="M246" s="37"/>
      <c r="N246" s="37"/>
      <c r="O246" s="38"/>
      <c r="P246" s="37"/>
      <c r="Q246" s="31" t="n">
        <f aca="false">IF(AND(N246="Approved",L246&lt;&gt;""),L246,0)</f>
        <v>0</v>
      </c>
      <c r="R246" s="12"/>
    </row>
    <row r="247" customFormat="false" ht="15" hidden="false" customHeight="false" outlineLevel="0" collapsed="false">
      <c r="A247" s="37"/>
      <c r="B247" s="38"/>
      <c r="C247" s="37"/>
      <c r="D247" s="31" t="str">
        <f aca="false">IF($C247="","",IFERROR(INDEX(Employee_Master!$B$5:$B$104,MATCH($C247,Employee_Master!$A$5:$A$104,0)),"ID not found"))</f>
        <v/>
      </c>
      <c r="E247" s="31" t="str">
        <f aca="false">IF($C247="","",IFERROR(INDEX(Employee_Master!$C$5:$C$104,MATCH($C247,Employee_Master!$A$5:$A$104,0)),"ID not found"))</f>
        <v/>
      </c>
      <c r="F247" s="37"/>
      <c r="G247" s="37"/>
      <c r="H247" s="31" t="str">
        <f aca="false">IF(OR(C247="",G247=""),"",IF(G247&lt;&gt;E247,"Yes","No"))</f>
        <v/>
      </c>
      <c r="I247" s="12"/>
      <c r="J247" s="12"/>
      <c r="K247" s="37"/>
      <c r="L247" s="31" t="str">
        <f aca="false">IF(F247="","",IFERROR(INDEX(Reference_Data!$P$5:$P$14,MATCH(F247,Reference_Data!$O$5:$O$14,0)),0))</f>
        <v/>
      </c>
      <c r="M247" s="37"/>
      <c r="N247" s="37"/>
      <c r="O247" s="38"/>
      <c r="P247" s="37"/>
      <c r="Q247" s="31" t="n">
        <f aca="false">IF(AND(N247="Approved",L247&lt;&gt;""),L247,0)</f>
        <v>0</v>
      </c>
      <c r="R247" s="12"/>
    </row>
    <row r="248" customFormat="false" ht="15" hidden="false" customHeight="false" outlineLevel="0" collapsed="false">
      <c r="A248" s="37"/>
      <c r="B248" s="38"/>
      <c r="C248" s="37"/>
      <c r="D248" s="31" t="str">
        <f aca="false">IF($C248="","",IFERROR(INDEX(Employee_Master!$B$5:$B$104,MATCH($C248,Employee_Master!$A$5:$A$104,0)),"ID not found"))</f>
        <v/>
      </c>
      <c r="E248" s="31" t="str">
        <f aca="false">IF($C248="","",IFERROR(INDEX(Employee_Master!$C$5:$C$104,MATCH($C248,Employee_Master!$A$5:$A$104,0)),"ID not found"))</f>
        <v/>
      </c>
      <c r="F248" s="37"/>
      <c r="G248" s="37"/>
      <c r="H248" s="31" t="str">
        <f aca="false">IF(OR(C248="",G248=""),"",IF(G248&lt;&gt;E248,"Yes","No"))</f>
        <v/>
      </c>
      <c r="I248" s="12"/>
      <c r="J248" s="12"/>
      <c r="K248" s="37"/>
      <c r="L248" s="31" t="str">
        <f aca="false">IF(F248="","",IFERROR(INDEX(Reference_Data!$P$5:$P$14,MATCH(F248,Reference_Data!$O$5:$O$14,0)),0))</f>
        <v/>
      </c>
      <c r="M248" s="37"/>
      <c r="N248" s="37"/>
      <c r="O248" s="38"/>
      <c r="P248" s="37"/>
      <c r="Q248" s="31" t="n">
        <f aca="false">IF(AND(N248="Approved",L248&lt;&gt;""),L248,0)</f>
        <v>0</v>
      </c>
      <c r="R248" s="12"/>
    </row>
    <row r="249" customFormat="false" ht="15" hidden="false" customHeight="false" outlineLevel="0" collapsed="false">
      <c r="A249" s="37"/>
      <c r="B249" s="38"/>
      <c r="C249" s="37"/>
      <c r="D249" s="31" t="str">
        <f aca="false">IF($C249="","",IFERROR(INDEX(Employee_Master!$B$5:$B$104,MATCH($C249,Employee_Master!$A$5:$A$104,0)),"ID not found"))</f>
        <v/>
      </c>
      <c r="E249" s="31" t="str">
        <f aca="false">IF($C249="","",IFERROR(INDEX(Employee_Master!$C$5:$C$104,MATCH($C249,Employee_Master!$A$5:$A$104,0)),"ID not found"))</f>
        <v/>
      </c>
      <c r="F249" s="37"/>
      <c r="G249" s="37"/>
      <c r="H249" s="31" t="str">
        <f aca="false">IF(OR(C249="",G249=""),"",IF(G249&lt;&gt;E249,"Yes","No"))</f>
        <v/>
      </c>
      <c r="I249" s="12"/>
      <c r="J249" s="12"/>
      <c r="K249" s="37"/>
      <c r="L249" s="31" t="str">
        <f aca="false">IF(F249="","",IFERROR(INDEX(Reference_Data!$P$5:$P$14,MATCH(F249,Reference_Data!$O$5:$O$14,0)),0))</f>
        <v/>
      </c>
      <c r="M249" s="37"/>
      <c r="N249" s="37"/>
      <c r="O249" s="38"/>
      <c r="P249" s="37"/>
      <c r="Q249" s="31" t="n">
        <f aca="false">IF(AND(N249="Approved",L249&lt;&gt;""),L249,0)</f>
        <v>0</v>
      </c>
      <c r="R249" s="12"/>
    </row>
    <row r="250" customFormat="false" ht="15" hidden="false" customHeight="false" outlineLevel="0" collapsed="false">
      <c r="A250" s="37"/>
      <c r="B250" s="38"/>
      <c r="C250" s="37"/>
      <c r="D250" s="31" t="str">
        <f aca="false">IF($C250="","",IFERROR(INDEX(Employee_Master!$B$5:$B$104,MATCH($C250,Employee_Master!$A$5:$A$104,0)),"ID not found"))</f>
        <v/>
      </c>
      <c r="E250" s="31" t="str">
        <f aca="false">IF($C250="","",IFERROR(INDEX(Employee_Master!$C$5:$C$104,MATCH($C250,Employee_Master!$A$5:$A$104,0)),"ID not found"))</f>
        <v/>
      </c>
      <c r="F250" s="37"/>
      <c r="G250" s="37"/>
      <c r="H250" s="31" t="str">
        <f aca="false">IF(OR(C250="",G250=""),"",IF(G250&lt;&gt;E250,"Yes","No"))</f>
        <v/>
      </c>
      <c r="I250" s="12"/>
      <c r="J250" s="12"/>
      <c r="K250" s="37"/>
      <c r="L250" s="31" t="str">
        <f aca="false">IF(F250="","",IFERROR(INDEX(Reference_Data!$P$5:$P$14,MATCH(F250,Reference_Data!$O$5:$O$14,0)),0))</f>
        <v/>
      </c>
      <c r="M250" s="37"/>
      <c r="N250" s="37"/>
      <c r="O250" s="38"/>
      <c r="P250" s="37"/>
      <c r="Q250" s="31" t="n">
        <f aca="false">IF(AND(N250="Approved",L250&lt;&gt;""),L250,0)</f>
        <v>0</v>
      </c>
      <c r="R250" s="12"/>
    </row>
    <row r="251" customFormat="false" ht="15" hidden="false" customHeight="false" outlineLevel="0" collapsed="false">
      <c r="A251" s="37"/>
      <c r="B251" s="38"/>
      <c r="C251" s="37"/>
      <c r="D251" s="31" t="str">
        <f aca="false">IF($C251="","",IFERROR(INDEX(Employee_Master!$B$5:$B$104,MATCH($C251,Employee_Master!$A$5:$A$104,0)),"ID not found"))</f>
        <v/>
      </c>
      <c r="E251" s="31" t="str">
        <f aca="false">IF($C251="","",IFERROR(INDEX(Employee_Master!$C$5:$C$104,MATCH($C251,Employee_Master!$A$5:$A$104,0)),"ID not found"))</f>
        <v/>
      </c>
      <c r="F251" s="37"/>
      <c r="G251" s="37"/>
      <c r="H251" s="31" t="str">
        <f aca="false">IF(OR(C251="",G251=""),"",IF(G251&lt;&gt;E251,"Yes","No"))</f>
        <v/>
      </c>
      <c r="I251" s="12"/>
      <c r="J251" s="12"/>
      <c r="K251" s="37"/>
      <c r="L251" s="31" t="str">
        <f aca="false">IF(F251="","",IFERROR(INDEX(Reference_Data!$P$5:$P$14,MATCH(F251,Reference_Data!$O$5:$O$14,0)),0))</f>
        <v/>
      </c>
      <c r="M251" s="37"/>
      <c r="N251" s="37"/>
      <c r="O251" s="38"/>
      <c r="P251" s="37"/>
      <c r="Q251" s="31" t="n">
        <f aca="false">IF(AND(N251="Approved",L251&lt;&gt;""),L251,0)</f>
        <v>0</v>
      </c>
      <c r="R251" s="12"/>
    </row>
    <row r="252" customFormat="false" ht="15" hidden="false" customHeight="false" outlineLevel="0" collapsed="false">
      <c r="A252" s="37"/>
      <c r="B252" s="38"/>
      <c r="C252" s="37"/>
      <c r="D252" s="31" t="str">
        <f aca="false">IF($C252="","",IFERROR(INDEX(Employee_Master!$B$5:$B$104,MATCH($C252,Employee_Master!$A$5:$A$104,0)),"ID not found"))</f>
        <v/>
      </c>
      <c r="E252" s="31" t="str">
        <f aca="false">IF($C252="","",IFERROR(INDEX(Employee_Master!$C$5:$C$104,MATCH($C252,Employee_Master!$A$5:$A$104,0)),"ID not found"))</f>
        <v/>
      </c>
      <c r="F252" s="37"/>
      <c r="G252" s="37"/>
      <c r="H252" s="31" t="str">
        <f aca="false">IF(OR(C252="",G252=""),"",IF(G252&lt;&gt;E252,"Yes","No"))</f>
        <v/>
      </c>
      <c r="I252" s="12"/>
      <c r="J252" s="12"/>
      <c r="K252" s="37"/>
      <c r="L252" s="31" t="str">
        <f aca="false">IF(F252="","",IFERROR(INDEX(Reference_Data!$P$5:$P$14,MATCH(F252,Reference_Data!$O$5:$O$14,0)),0))</f>
        <v/>
      </c>
      <c r="M252" s="37"/>
      <c r="N252" s="37"/>
      <c r="O252" s="38"/>
      <c r="P252" s="37"/>
      <c r="Q252" s="31" t="n">
        <f aca="false">IF(AND(N252="Approved",L252&lt;&gt;""),L252,0)</f>
        <v>0</v>
      </c>
      <c r="R252" s="12"/>
    </row>
    <row r="253" customFormat="false" ht="15" hidden="false" customHeight="false" outlineLevel="0" collapsed="false">
      <c r="A253" s="37"/>
      <c r="B253" s="38"/>
      <c r="C253" s="37"/>
      <c r="D253" s="31" t="str">
        <f aca="false">IF($C253="","",IFERROR(INDEX(Employee_Master!$B$5:$B$104,MATCH($C253,Employee_Master!$A$5:$A$104,0)),"ID not found"))</f>
        <v/>
      </c>
      <c r="E253" s="31" t="str">
        <f aca="false">IF($C253="","",IFERROR(INDEX(Employee_Master!$C$5:$C$104,MATCH($C253,Employee_Master!$A$5:$A$104,0)),"ID not found"))</f>
        <v/>
      </c>
      <c r="F253" s="37"/>
      <c r="G253" s="37"/>
      <c r="H253" s="31" t="str">
        <f aca="false">IF(OR(C253="",G253=""),"",IF(G253&lt;&gt;E253,"Yes","No"))</f>
        <v/>
      </c>
      <c r="I253" s="12"/>
      <c r="J253" s="12"/>
      <c r="K253" s="37"/>
      <c r="L253" s="31" t="str">
        <f aca="false">IF(F253="","",IFERROR(INDEX(Reference_Data!$P$5:$P$14,MATCH(F253,Reference_Data!$O$5:$O$14,0)),0))</f>
        <v/>
      </c>
      <c r="M253" s="37"/>
      <c r="N253" s="37"/>
      <c r="O253" s="38"/>
      <c r="P253" s="37"/>
      <c r="Q253" s="31" t="n">
        <f aca="false">IF(AND(N253="Approved",L253&lt;&gt;""),L253,0)</f>
        <v>0</v>
      </c>
      <c r="R253" s="12"/>
    </row>
    <row r="254" customFormat="false" ht="15" hidden="false" customHeight="false" outlineLevel="0" collapsed="false">
      <c r="A254" s="37"/>
      <c r="B254" s="38"/>
      <c r="C254" s="37"/>
      <c r="D254" s="31" t="str">
        <f aca="false">IF($C254="","",IFERROR(INDEX(Employee_Master!$B$5:$B$104,MATCH($C254,Employee_Master!$A$5:$A$104,0)),"ID not found"))</f>
        <v/>
      </c>
      <c r="E254" s="31" t="str">
        <f aca="false">IF($C254="","",IFERROR(INDEX(Employee_Master!$C$5:$C$104,MATCH($C254,Employee_Master!$A$5:$A$104,0)),"ID not found"))</f>
        <v/>
      </c>
      <c r="F254" s="37"/>
      <c r="G254" s="37"/>
      <c r="H254" s="31" t="str">
        <f aca="false">IF(OR(C254="",G254=""),"",IF(G254&lt;&gt;E254,"Yes","No"))</f>
        <v/>
      </c>
      <c r="I254" s="12"/>
      <c r="J254" s="12"/>
      <c r="K254" s="37"/>
      <c r="L254" s="31" t="str">
        <f aca="false">IF(F254="","",IFERROR(INDEX(Reference_Data!$P$5:$P$14,MATCH(F254,Reference_Data!$O$5:$O$14,0)),0))</f>
        <v/>
      </c>
      <c r="M254" s="37"/>
      <c r="N254" s="37"/>
      <c r="O254" s="38"/>
      <c r="P254" s="37"/>
      <c r="Q254" s="31" t="n">
        <f aca="false">IF(AND(N254="Approved",L254&lt;&gt;""),L254,0)</f>
        <v>0</v>
      </c>
      <c r="R254" s="12"/>
    </row>
    <row r="255" customFormat="false" ht="15" hidden="false" customHeight="false" outlineLevel="0" collapsed="false">
      <c r="A255" s="37"/>
      <c r="B255" s="38"/>
      <c r="C255" s="37"/>
      <c r="D255" s="31" t="str">
        <f aca="false">IF($C255="","",IFERROR(INDEX(Employee_Master!$B$5:$B$104,MATCH($C255,Employee_Master!$A$5:$A$104,0)),"ID not found"))</f>
        <v/>
      </c>
      <c r="E255" s="31" t="str">
        <f aca="false">IF($C255="","",IFERROR(INDEX(Employee_Master!$C$5:$C$104,MATCH($C255,Employee_Master!$A$5:$A$104,0)),"ID not found"))</f>
        <v/>
      </c>
      <c r="F255" s="37"/>
      <c r="G255" s="37"/>
      <c r="H255" s="31" t="str">
        <f aca="false">IF(OR(C255="",G255=""),"",IF(G255&lt;&gt;E255,"Yes","No"))</f>
        <v/>
      </c>
      <c r="I255" s="12"/>
      <c r="J255" s="12"/>
      <c r="K255" s="37"/>
      <c r="L255" s="31" t="str">
        <f aca="false">IF(F255="","",IFERROR(INDEX(Reference_Data!$P$5:$P$14,MATCH(F255,Reference_Data!$O$5:$O$14,0)),0))</f>
        <v/>
      </c>
      <c r="M255" s="37"/>
      <c r="N255" s="37"/>
      <c r="O255" s="38"/>
      <c r="P255" s="37"/>
      <c r="Q255" s="31" t="n">
        <f aca="false">IF(AND(N255="Approved",L255&lt;&gt;""),L255,0)</f>
        <v>0</v>
      </c>
      <c r="R255" s="12"/>
    </row>
    <row r="256" customFormat="false" ht="15" hidden="false" customHeight="false" outlineLevel="0" collapsed="false">
      <c r="A256" s="37"/>
      <c r="B256" s="38"/>
      <c r="C256" s="37"/>
      <c r="D256" s="31" t="str">
        <f aca="false">IF($C256="","",IFERROR(INDEX(Employee_Master!$B$5:$B$104,MATCH($C256,Employee_Master!$A$5:$A$104,0)),"ID not found"))</f>
        <v/>
      </c>
      <c r="E256" s="31" t="str">
        <f aca="false">IF($C256="","",IFERROR(INDEX(Employee_Master!$C$5:$C$104,MATCH($C256,Employee_Master!$A$5:$A$104,0)),"ID not found"))</f>
        <v/>
      </c>
      <c r="F256" s="37"/>
      <c r="G256" s="37"/>
      <c r="H256" s="31" t="str">
        <f aca="false">IF(OR(C256="",G256=""),"",IF(G256&lt;&gt;E256,"Yes","No"))</f>
        <v/>
      </c>
      <c r="I256" s="12"/>
      <c r="J256" s="12"/>
      <c r="K256" s="37"/>
      <c r="L256" s="31" t="str">
        <f aca="false">IF(F256="","",IFERROR(INDEX(Reference_Data!$P$5:$P$14,MATCH(F256,Reference_Data!$O$5:$O$14,0)),0))</f>
        <v/>
      </c>
      <c r="M256" s="37"/>
      <c r="N256" s="37"/>
      <c r="O256" s="38"/>
      <c r="P256" s="37"/>
      <c r="Q256" s="31" t="n">
        <f aca="false">IF(AND(N256="Approved",L256&lt;&gt;""),L256,0)</f>
        <v>0</v>
      </c>
      <c r="R256" s="12"/>
    </row>
    <row r="257" customFormat="false" ht="15" hidden="false" customHeight="false" outlineLevel="0" collapsed="false">
      <c r="A257" s="37"/>
      <c r="B257" s="38"/>
      <c r="C257" s="37"/>
      <c r="D257" s="31" t="str">
        <f aca="false">IF($C257="","",IFERROR(INDEX(Employee_Master!$B$5:$B$104,MATCH($C257,Employee_Master!$A$5:$A$104,0)),"ID not found"))</f>
        <v/>
      </c>
      <c r="E257" s="31" t="str">
        <f aca="false">IF($C257="","",IFERROR(INDEX(Employee_Master!$C$5:$C$104,MATCH($C257,Employee_Master!$A$5:$A$104,0)),"ID not found"))</f>
        <v/>
      </c>
      <c r="F257" s="37"/>
      <c r="G257" s="37"/>
      <c r="H257" s="31" t="str">
        <f aca="false">IF(OR(C257="",G257=""),"",IF(G257&lt;&gt;E257,"Yes","No"))</f>
        <v/>
      </c>
      <c r="I257" s="12"/>
      <c r="J257" s="12"/>
      <c r="K257" s="37"/>
      <c r="L257" s="31" t="str">
        <f aca="false">IF(F257="","",IFERROR(INDEX(Reference_Data!$P$5:$P$14,MATCH(F257,Reference_Data!$O$5:$O$14,0)),0))</f>
        <v/>
      </c>
      <c r="M257" s="37"/>
      <c r="N257" s="37"/>
      <c r="O257" s="38"/>
      <c r="P257" s="37"/>
      <c r="Q257" s="31" t="n">
        <f aca="false">IF(AND(N257="Approved",L257&lt;&gt;""),L257,0)</f>
        <v>0</v>
      </c>
      <c r="R257" s="12"/>
    </row>
    <row r="258" customFormat="false" ht="15" hidden="false" customHeight="false" outlineLevel="0" collapsed="false">
      <c r="A258" s="37"/>
      <c r="B258" s="38"/>
      <c r="C258" s="37"/>
      <c r="D258" s="31" t="str">
        <f aca="false">IF($C258="","",IFERROR(INDEX(Employee_Master!$B$5:$B$104,MATCH($C258,Employee_Master!$A$5:$A$104,0)),"ID not found"))</f>
        <v/>
      </c>
      <c r="E258" s="31" t="str">
        <f aca="false">IF($C258="","",IFERROR(INDEX(Employee_Master!$C$5:$C$104,MATCH($C258,Employee_Master!$A$5:$A$104,0)),"ID not found"))</f>
        <v/>
      </c>
      <c r="F258" s="37"/>
      <c r="G258" s="37"/>
      <c r="H258" s="31" t="str">
        <f aca="false">IF(OR(C258="",G258=""),"",IF(G258&lt;&gt;E258,"Yes","No"))</f>
        <v/>
      </c>
      <c r="I258" s="12"/>
      <c r="J258" s="12"/>
      <c r="K258" s="37"/>
      <c r="L258" s="31" t="str">
        <f aca="false">IF(F258="","",IFERROR(INDEX(Reference_Data!$P$5:$P$14,MATCH(F258,Reference_Data!$O$5:$O$14,0)),0))</f>
        <v/>
      </c>
      <c r="M258" s="37"/>
      <c r="N258" s="37"/>
      <c r="O258" s="38"/>
      <c r="P258" s="37"/>
      <c r="Q258" s="31" t="n">
        <f aca="false">IF(AND(N258="Approved",L258&lt;&gt;""),L258,0)</f>
        <v>0</v>
      </c>
      <c r="R258" s="12"/>
    </row>
    <row r="259" customFormat="false" ht="15" hidden="false" customHeight="false" outlineLevel="0" collapsed="false">
      <c r="A259" s="37"/>
      <c r="B259" s="38"/>
      <c r="C259" s="37"/>
      <c r="D259" s="31" t="str">
        <f aca="false">IF($C259="","",IFERROR(INDEX(Employee_Master!$B$5:$B$104,MATCH($C259,Employee_Master!$A$5:$A$104,0)),"ID not found"))</f>
        <v/>
      </c>
      <c r="E259" s="31" t="str">
        <f aca="false">IF($C259="","",IFERROR(INDEX(Employee_Master!$C$5:$C$104,MATCH($C259,Employee_Master!$A$5:$A$104,0)),"ID not found"))</f>
        <v/>
      </c>
      <c r="F259" s="37"/>
      <c r="G259" s="37"/>
      <c r="H259" s="31" t="str">
        <f aca="false">IF(OR(C259="",G259=""),"",IF(G259&lt;&gt;E259,"Yes","No"))</f>
        <v/>
      </c>
      <c r="I259" s="12"/>
      <c r="J259" s="12"/>
      <c r="K259" s="37"/>
      <c r="L259" s="31" t="str">
        <f aca="false">IF(F259="","",IFERROR(INDEX(Reference_Data!$P$5:$P$14,MATCH(F259,Reference_Data!$O$5:$O$14,0)),0))</f>
        <v/>
      </c>
      <c r="M259" s="37"/>
      <c r="N259" s="37"/>
      <c r="O259" s="38"/>
      <c r="P259" s="37"/>
      <c r="Q259" s="31" t="n">
        <f aca="false">IF(AND(N259="Approved",L259&lt;&gt;""),L259,0)</f>
        <v>0</v>
      </c>
      <c r="R259" s="12"/>
    </row>
    <row r="260" customFormat="false" ht="15" hidden="false" customHeight="false" outlineLevel="0" collapsed="false">
      <c r="A260" s="37"/>
      <c r="B260" s="38"/>
      <c r="C260" s="37"/>
      <c r="D260" s="31" t="str">
        <f aca="false">IF($C260="","",IFERROR(INDEX(Employee_Master!$B$5:$B$104,MATCH($C260,Employee_Master!$A$5:$A$104,0)),"ID not found"))</f>
        <v/>
      </c>
      <c r="E260" s="31" t="str">
        <f aca="false">IF($C260="","",IFERROR(INDEX(Employee_Master!$C$5:$C$104,MATCH($C260,Employee_Master!$A$5:$A$104,0)),"ID not found"))</f>
        <v/>
      </c>
      <c r="F260" s="37"/>
      <c r="G260" s="37"/>
      <c r="H260" s="31" t="str">
        <f aca="false">IF(OR(C260="",G260=""),"",IF(G260&lt;&gt;E260,"Yes","No"))</f>
        <v/>
      </c>
      <c r="I260" s="12"/>
      <c r="J260" s="12"/>
      <c r="K260" s="37"/>
      <c r="L260" s="31" t="str">
        <f aca="false">IF(F260="","",IFERROR(INDEX(Reference_Data!$P$5:$P$14,MATCH(F260,Reference_Data!$O$5:$O$14,0)),0))</f>
        <v/>
      </c>
      <c r="M260" s="37"/>
      <c r="N260" s="37"/>
      <c r="O260" s="38"/>
      <c r="P260" s="37"/>
      <c r="Q260" s="31" t="n">
        <f aca="false">IF(AND(N260="Approved",L260&lt;&gt;""),L260,0)</f>
        <v>0</v>
      </c>
      <c r="R260" s="12"/>
    </row>
    <row r="261" customFormat="false" ht="15" hidden="false" customHeight="false" outlineLevel="0" collapsed="false">
      <c r="A261" s="37"/>
      <c r="B261" s="38"/>
      <c r="C261" s="37"/>
      <c r="D261" s="31" t="str">
        <f aca="false">IF($C261="","",IFERROR(INDEX(Employee_Master!$B$5:$B$104,MATCH($C261,Employee_Master!$A$5:$A$104,0)),"ID not found"))</f>
        <v/>
      </c>
      <c r="E261" s="31" t="str">
        <f aca="false">IF($C261="","",IFERROR(INDEX(Employee_Master!$C$5:$C$104,MATCH($C261,Employee_Master!$A$5:$A$104,0)),"ID not found"))</f>
        <v/>
      </c>
      <c r="F261" s="37"/>
      <c r="G261" s="37"/>
      <c r="H261" s="31" t="str">
        <f aca="false">IF(OR(C261="",G261=""),"",IF(G261&lt;&gt;E261,"Yes","No"))</f>
        <v/>
      </c>
      <c r="I261" s="12"/>
      <c r="J261" s="12"/>
      <c r="K261" s="37"/>
      <c r="L261" s="31" t="str">
        <f aca="false">IF(F261="","",IFERROR(INDEX(Reference_Data!$P$5:$P$14,MATCH(F261,Reference_Data!$O$5:$O$14,0)),0))</f>
        <v/>
      </c>
      <c r="M261" s="37"/>
      <c r="N261" s="37"/>
      <c r="O261" s="38"/>
      <c r="P261" s="37"/>
      <c r="Q261" s="31" t="n">
        <f aca="false">IF(AND(N261="Approved",L261&lt;&gt;""),L261,0)</f>
        <v>0</v>
      </c>
      <c r="R261" s="12"/>
    </row>
    <row r="262" customFormat="false" ht="15" hidden="false" customHeight="false" outlineLevel="0" collapsed="false">
      <c r="A262" s="37"/>
      <c r="B262" s="38"/>
      <c r="C262" s="37"/>
      <c r="D262" s="31" t="str">
        <f aca="false">IF($C262="","",IFERROR(INDEX(Employee_Master!$B$5:$B$104,MATCH($C262,Employee_Master!$A$5:$A$104,0)),"ID not found"))</f>
        <v/>
      </c>
      <c r="E262" s="31" t="str">
        <f aca="false">IF($C262="","",IFERROR(INDEX(Employee_Master!$C$5:$C$104,MATCH($C262,Employee_Master!$A$5:$A$104,0)),"ID not found"))</f>
        <v/>
      </c>
      <c r="F262" s="37"/>
      <c r="G262" s="37"/>
      <c r="H262" s="31" t="str">
        <f aca="false">IF(OR(C262="",G262=""),"",IF(G262&lt;&gt;E262,"Yes","No"))</f>
        <v/>
      </c>
      <c r="I262" s="12"/>
      <c r="J262" s="12"/>
      <c r="K262" s="37"/>
      <c r="L262" s="31" t="str">
        <f aca="false">IF(F262="","",IFERROR(INDEX(Reference_Data!$P$5:$P$14,MATCH(F262,Reference_Data!$O$5:$O$14,0)),0))</f>
        <v/>
      </c>
      <c r="M262" s="37"/>
      <c r="N262" s="37"/>
      <c r="O262" s="38"/>
      <c r="P262" s="37"/>
      <c r="Q262" s="31" t="n">
        <f aca="false">IF(AND(N262="Approved",L262&lt;&gt;""),L262,0)</f>
        <v>0</v>
      </c>
      <c r="R262" s="12"/>
    </row>
    <row r="263" customFormat="false" ht="15" hidden="false" customHeight="false" outlineLevel="0" collapsed="false">
      <c r="A263" s="37"/>
      <c r="B263" s="38"/>
      <c r="C263" s="37"/>
      <c r="D263" s="31" t="str">
        <f aca="false">IF($C263="","",IFERROR(INDEX(Employee_Master!$B$5:$B$104,MATCH($C263,Employee_Master!$A$5:$A$104,0)),"ID not found"))</f>
        <v/>
      </c>
      <c r="E263" s="31" t="str">
        <f aca="false">IF($C263="","",IFERROR(INDEX(Employee_Master!$C$5:$C$104,MATCH($C263,Employee_Master!$A$5:$A$104,0)),"ID not found"))</f>
        <v/>
      </c>
      <c r="F263" s="37"/>
      <c r="G263" s="37"/>
      <c r="H263" s="31" t="str">
        <f aca="false">IF(OR(C263="",G263=""),"",IF(G263&lt;&gt;E263,"Yes","No"))</f>
        <v/>
      </c>
      <c r="I263" s="12"/>
      <c r="J263" s="12"/>
      <c r="K263" s="37"/>
      <c r="L263" s="31" t="str">
        <f aca="false">IF(F263="","",IFERROR(INDEX(Reference_Data!$P$5:$P$14,MATCH(F263,Reference_Data!$O$5:$O$14,0)),0))</f>
        <v/>
      </c>
      <c r="M263" s="37"/>
      <c r="N263" s="37"/>
      <c r="O263" s="38"/>
      <c r="P263" s="37"/>
      <c r="Q263" s="31" t="n">
        <f aca="false">IF(AND(N263="Approved",L263&lt;&gt;""),L263,0)</f>
        <v>0</v>
      </c>
      <c r="R263" s="12"/>
    </row>
    <row r="264" customFormat="false" ht="15" hidden="false" customHeight="false" outlineLevel="0" collapsed="false">
      <c r="A264" s="37"/>
      <c r="B264" s="38"/>
      <c r="C264" s="37"/>
      <c r="D264" s="31" t="str">
        <f aca="false">IF($C264="","",IFERROR(INDEX(Employee_Master!$B$5:$B$104,MATCH($C264,Employee_Master!$A$5:$A$104,0)),"ID not found"))</f>
        <v/>
      </c>
      <c r="E264" s="31" t="str">
        <f aca="false">IF($C264="","",IFERROR(INDEX(Employee_Master!$C$5:$C$104,MATCH($C264,Employee_Master!$A$5:$A$104,0)),"ID not found"))</f>
        <v/>
      </c>
      <c r="F264" s="37"/>
      <c r="G264" s="37"/>
      <c r="H264" s="31" t="str">
        <f aca="false">IF(OR(C264="",G264=""),"",IF(G264&lt;&gt;E264,"Yes","No"))</f>
        <v/>
      </c>
      <c r="I264" s="12"/>
      <c r="J264" s="12"/>
      <c r="K264" s="37"/>
      <c r="L264" s="31" t="str">
        <f aca="false">IF(F264="","",IFERROR(INDEX(Reference_Data!$P$5:$P$14,MATCH(F264,Reference_Data!$O$5:$O$14,0)),0))</f>
        <v/>
      </c>
      <c r="M264" s="37"/>
      <c r="N264" s="37"/>
      <c r="O264" s="38"/>
      <c r="P264" s="37"/>
      <c r="Q264" s="31" t="n">
        <f aca="false">IF(AND(N264="Approved",L264&lt;&gt;""),L264,0)</f>
        <v>0</v>
      </c>
      <c r="R264" s="12"/>
    </row>
    <row r="265" customFormat="false" ht="15" hidden="false" customHeight="false" outlineLevel="0" collapsed="false">
      <c r="A265" s="37"/>
      <c r="B265" s="38"/>
      <c r="C265" s="37"/>
      <c r="D265" s="31" t="str">
        <f aca="false">IF($C265="","",IFERROR(INDEX(Employee_Master!$B$5:$B$104,MATCH($C265,Employee_Master!$A$5:$A$104,0)),"ID not found"))</f>
        <v/>
      </c>
      <c r="E265" s="31" t="str">
        <f aca="false">IF($C265="","",IFERROR(INDEX(Employee_Master!$C$5:$C$104,MATCH($C265,Employee_Master!$A$5:$A$104,0)),"ID not found"))</f>
        <v/>
      </c>
      <c r="F265" s="37"/>
      <c r="G265" s="37"/>
      <c r="H265" s="31" t="str">
        <f aca="false">IF(OR(C265="",G265=""),"",IF(G265&lt;&gt;E265,"Yes","No"))</f>
        <v/>
      </c>
      <c r="I265" s="12"/>
      <c r="J265" s="12"/>
      <c r="K265" s="37"/>
      <c r="L265" s="31" t="str">
        <f aca="false">IF(F265="","",IFERROR(INDEX(Reference_Data!$P$5:$P$14,MATCH(F265,Reference_Data!$O$5:$O$14,0)),0))</f>
        <v/>
      </c>
      <c r="M265" s="37"/>
      <c r="N265" s="37"/>
      <c r="O265" s="38"/>
      <c r="P265" s="37"/>
      <c r="Q265" s="31" t="n">
        <f aca="false">IF(AND(N265="Approved",L265&lt;&gt;""),L265,0)</f>
        <v>0</v>
      </c>
      <c r="R265" s="12"/>
    </row>
    <row r="266" customFormat="false" ht="15" hidden="false" customHeight="false" outlineLevel="0" collapsed="false">
      <c r="A266" s="37"/>
      <c r="B266" s="38"/>
      <c r="C266" s="37"/>
      <c r="D266" s="31" t="str">
        <f aca="false">IF($C266="","",IFERROR(INDEX(Employee_Master!$B$5:$B$104,MATCH($C266,Employee_Master!$A$5:$A$104,0)),"ID not found"))</f>
        <v/>
      </c>
      <c r="E266" s="31" t="str">
        <f aca="false">IF($C266="","",IFERROR(INDEX(Employee_Master!$C$5:$C$104,MATCH($C266,Employee_Master!$A$5:$A$104,0)),"ID not found"))</f>
        <v/>
      </c>
      <c r="F266" s="37"/>
      <c r="G266" s="37"/>
      <c r="H266" s="31" t="str">
        <f aca="false">IF(OR(C266="",G266=""),"",IF(G266&lt;&gt;E266,"Yes","No"))</f>
        <v/>
      </c>
      <c r="I266" s="12"/>
      <c r="J266" s="12"/>
      <c r="K266" s="37"/>
      <c r="L266" s="31" t="str">
        <f aca="false">IF(F266="","",IFERROR(INDEX(Reference_Data!$P$5:$P$14,MATCH(F266,Reference_Data!$O$5:$O$14,0)),0))</f>
        <v/>
      </c>
      <c r="M266" s="37"/>
      <c r="N266" s="37"/>
      <c r="O266" s="38"/>
      <c r="P266" s="37"/>
      <c r="Q266" s="31" t="n">
        <f aca="false">IF(AND(N266="Approved",L266&lt;&gt;""),L266,0)</f>
        <v>0</v>
      </c>
      <c r="R266" s="12"/>
    </row>
    <row r="267" customFormat="false" ht="15" hidden="false" customHeight="false" outlineLevel="0" collapsed="false">
      <c r="A267" s="37"/>
      <c r="B267" s="38"/>
      <c r="C267" s="37"/>
      <c r="D267" s="31" t="str">
        <f aca="false">IF($C267="","",IFERROR(INDEX(Employee_Master!$B$5:$B$104,MATCH($C267,Employee_Master!$A$5:$A$104,0)),"ID not found"))</f>
        <v/>
      </c>
      <c r="E267" s="31" t="str">
        <f aca="false">IF($C267="","",IFERROR(INDEX(Employee_Master!$C$5:$C$104,MATCH($C267,Employee_Master!$A$5:$A$104,0)),"ID not found"))</f>
        <v/>
      </c>
      <c r="F267" s="37"/>
      <c r="G267" s="37"/>
      <c r="H267" s="31" t="str">
        <f aca="false">IF(OR(C267="",G267=""),"",IF(G267&lt;&gt;E267,"Yes","No"))</f>
        <v/>
      </c>
      <c r="I267" s="12"/>
      <c r="J267" s="12"/>
      <c r="K267" s="37"/>
      <c r="L267" s="31" t="str">
        <f aca="false">IF(F267="","",IFERROR(INDEX(Reference_Data!$P$5:$P$14,MATCH(F267,Reference_Data!$O$5:$O$14,0)),0))</f>
        <v/>
      </c>
      <c r="M267" s="37"/>
      <c r="N267" s="37"/>
      <c r="O267" s="38"/>
      <c r="P267" s="37"/>
      <c r="Q267" s="31" t="n">
        <f aca="false">IF(AND(N267="Approved",L267&lt;&gt;""),L267,0)</f>
        <v>0</v>
      </c>
      <c r="R267" s="12"/>
    </row>
    <row r="268" customFormat="false" ht="15" hidden="false" customHeight="false" outlineLevel="0" collapsed="false">
      <c r="A268" s="37"/>
      <c r="B268" s="38"/>
      <c r="C268" s="37"/>
      <c r="D268" s="31" t="str">
        <f aca="false">IF($C268="","",IFERROR(INDEX(Employee_Master!$B$5:$B$104,MATCH($C268,Employee_Master!$A$5:$A$104,0)),"ID not found"))</f>
        <v/>
      </c>
      <c r="E268" s="31" t="str">
        <f aca="false">IF($C268="","",IFERROR(INDEX(Employee_Master!$C$5:$C$104,MATCH($C268,Employee_Master!$A$5:$A$104,0)),"ID not found"))</f>
        <v/>
      </c>
      <c r="F268" s="37"/>
      <c r="G268" s="37"/>
      <c r="H268" s="31" t="str">
        <f aca="false">IF(OR(C268="",G268=""),"",IF(G268&lt;&gt;E268,"Yes","No"))</f>
        <v/>
      </c>
      <c r="I268" s="12"/>
      <c r="J268" s="12"/>
      <c r="K268" s="37"/>
      <c r="L268" s="31" t="str">
        <f aca="false">IF(F268="","",IFERROR(INDEX(Reference_Data!$P$5:$P$14,MATCH(F268,Reference_Data!$O$5:$O$14,0)),0))</f>
        <v/>
      </c>
      <c r="M268" s="37"/>
      <c r="N268" s="37"/>
      <c r="O268" s="38"/>
      <c r="P268" s="37"/>
      <c r="Q268" s="31" t="n">
        <f aca="false">IF(AND(N268="Approved",L268&lt;&gt;""),L268,0)</f>
        <v>0</v>
      </c>
      <c r="R268" s="12"/>
    </row>
    <row r="269" customFormat="false" ht="15" hidden="false" customHeight="false" outlineLevel="0" collapsed="false">
      <c r="A269" s="37"/>
      <c r="B269" s="38"/>
      <c r="C269" s="37"/>
      <c r="D269" s="31" t="str">
        <f aca="false">IF($C269="","",IFERROR(INDEX(Employee_Master!$B$5:$B$104,MATCH($C269,Employee_Master!$A$5:$A$104,0)),"ID not found"))</f>
        <v/>
      </c>
      <c r="E269" s="31" t="str">
        <f aca="false">IF($C269="","",IFERROR(INDEX(Employee_Master!$C$5:$C$104,MATCH($C269,Employee_Master!$A$5:$A$104,0)),"ID not found"))</f>
        <v/>
      </c>
      <c r="F269" s="37"/>
      <c r="G269" s="37"/>
      <c r="H269" s="31" t="str">
        <f aca="false">IF(OR(C269="",G269=""),"",IF(G269&lt;&gt;E269,"Yes","No"))</f>
        <v/>
      </c>
      <c r="I269" s="12"/>
      <c r="J269" s="12"/>
      <c r="K269" s="37"/>
      <c r="L269" s="31" t="str">
        <f aca="false">IF(F269="","",IFERROR(INDEX(Reference_Data!$P$5:$P$14,MATCH(F269,Reference_Data!$O$5:$O$14,0)),0))</f>
        <v/>
      </c>
      <c r="M269" s="37"/>
      <c r="N269" s="37"/>
      <c r="O269" s="38"/>
      <c r="P269" s="37"/>
      <c r="Q269" s="31" t="n">
        <f aca="false">IF(AND(N269="Approved",L269&lt;&gt;""),L269,0)</f>
        <v>0</v>
      </c>
      <c r="R269" s="12"/>
    </row>
    <row r="270" customFormat="false" ht="15" hidden="false" customHeight="false" outlineLevel="0" collapsed="false">
      <c r="A270" s="37"/>
      <c r="B270" s="38"/>
      <c r="C270" s="37"/>
      <c r="D270" s="31" t="str">
        <f aca="false">IF($C270="","",IFERROR(INDEX(Employee_Master!$B$5:$B$104,MATCH($C270,Employee_Master!$A$5:$A$104,0)),"ID not found"))</f>
        <v/>
      </c>
      <c r="E270" s="31" t="str">
        <f aca="false">IF($C270="","",IFERROR(INDEX(Employee_Master!$C$5:$C$104,MATCH($C270,Employee_Master!$A$5:$A$104,0)),"ID not found"))</f>
        <v/>
      </c>
      <c r="F270" s="37"/>
      <c r="G270" s="37"/>
      <c r="H270" s="31" t="str">
        <f aca="false">IF(OR(C270="",G270=""),"",IF(G270&lt;&gt;E270,"Yes","No"))</f>
        <v/>
      </c>
      <c r="I270" s="12"/>
      <c r="J270" s="12"/>
      <c r="K270" s="37"/>
      <c r="L270" s="31" t="str">
        <f aca="false">IF(F270="","",IFERROR(INDEX(Reference_Data!$P$5:$P$14,MATCH(F270,Reference_Data!$O$5:$O$14,0)),0))</f>
        <v/>
      </c>
      <c r="M270" s="37"/>
      <c r="N270" s="37"/>
      <c r="O270" s="38"/>
      <c r="P270" s="37"/>
      <c r="Q270" s="31" t="n">
        <f aca="false">IF(AND(N270="Approved",L270&lt;&gt;""),L270,0)</f>
        <v>0</v>
      </c>
      <c r="R270" s="12"/>
    </row>
    <row r="271" customFormat="false" ht="15" hidden="false" customHeight="false" outlineLevel="0" collapsed="false">
      <c r="A271" s="37"/>
      <c r="B271" s="38"/>
      <c r="C271" s="37"/>
      <c r="D271" s="31" t="str">
        <f aca="false">IF($C271="","",IFERROR(INDEX(Employee_Master!$B$5:$B$104,MATCH($C271,Employee_Master!$A$5:$A$104,0)),"ID not found"))</f>
        <v/>
      </c>
      <c r="E271" s="31" t="str">
        <f aca="false">IF($C271="","",IFERROR(INDEX(Employee_Master!$C$5:$C$104,MATCH($C271,Employee_Master!$A$5:$A$104,0)),"ID not found"))</f>
        <v/>
      </c>
      <c r="F271" s="37"/>
      <c r="G271" s="37"/>
      <c r="H271" s="31" t="str">
        <f aca="false">IF(OR(C271="",G271=""),"",IF(G271&lt;&gt;E271,"Yes","No"))</f>
        <v/>
      </c>
      <c r="I271" s="12"/>
      <c r="J271" s="12"/>
      <c r="K271" s="37"/>
      <c r="L271" s="31" t="str">
        <f aca="false">IF(F271="","",IFERROR(INDEX(Reference_Data!$P$5:$P$14,MATCH(F271,Reference_Data!$O$5:$O$14,0)),0))</f>
        <v/>
      </c>
      <c r="M271" s="37"/>
      <c r="N271" s="37"/>
      <c r="O271" s="38"/>
      <c r="P271" s="37"/>
      <c r="Q271" s="31" t="n">
        <f aca="false">IF(AND(N271="Approved",L271&lt;&gt;""),L271,0)</f>
        <v>0</v>
      </c>
      <c r="R271" s="12"/>
    </row>
    <row r="272" customFormat="false" ht="15" hidden="false" customHeight="false" outlineLevel="0" collapsed="false">
      <c r="A272" s="37"/>
      <c r="B272" s="38"/>
      <c r="C272" s="37"/>
      <c r="D272" s="31" t="str">
        <f aca="false">IF($C272="","",IFERROR(INDEX(Employee_Master!$B$5:$B$104,MATCH($C272,Employee_Master!$A$5:$A$104,0)),"ID not found"))</f>
        <v/>
      </c>
      <c r="E272" s="31" t="str">
        <f aca="false">IF($C272="","",IFERROR(INDEX(Employee_Master!$C$5:$C$104,MATCH($C272,Employee_Master!$A$5:$A$104,0)),"ID not found"))</f>
        <v/>
      </c>
      <c r="F272" s="37"/>
      <c r="G272" s="37"/>
      <c r="H272" s="31" t="str">
        <f aca="false">IF(OR(C272="",G272=""),"",IF(G272&lt;&gt;E272,"Yes","No"))</f>
        <v/>
      </c>
      <c r="I272" s="12"/>
      <c r="J272" s="12"/>
      <c r="K272" s="37"/>
      <c r="L272" s="31" t="str">
        <f aca="false">IF(F272="","",IFERROR(INDEX(Reference_Data!$P$5:$P$14,MATCH(F272,Reference_Data!$O$5:$O$14,0)),0))</f>
        <v/>
      </c>
      <c r="M272" s="37"/>
      <c r="N272" s="37"/>
      <c r="O272" s="38"/>
      <c r="P272" s="37"/>
      <c r="Q272" s="31" t="n">
        <f aca="false">IF(AND(N272="Approved",L272&lt;&gt;""),L272,0)</f>
        <v>0</v>
      </c>
      <c r="R272" s="12"/>
    </row>
    <row r="273" customFormat="false" ht="15" hidden="false" customHeight="false" outlineLevel="0" collapsed="false">
      <c r="A273" s="37"/>
      <c r="B273" s="38"/>
      <c r="C273" s="37"/>
      <c r="D273" s="31" t="str">
        <f aca="false">IF($C273="","",IFERROR(INDEX(Employee_Master!$B$5:$B$104,MATCH($C273,Employee_Master!$A$5:$A$104,0)),"ID not found"))</f>
        <v/>
      </c>
      <c r="E273" s="31" t="str">
        <f aca="false">IF($C273="","",IFERROR(INDEX(Employee_Master!$C$5:$C$104,MATCH($C273,Employee_Master!$A$5:$A$104,0)),"ID not found"))</f>
        <v/>
      </c>
      <c r="F273" s="37"/>
      <c r="G273" s="37"/>
      <c r="H273" s="31" t="str">
        <f aca="false">IF(OR(C273="",G273=""),"",IF(G273&lt;&gt;E273,"Yes","No"))</f>
        <v/>
      </c>
      <c r="I273" s="12"/>
      <c r="J273" s="12"/>
      <c r="K273" s="37"/>
      <c r="L273" s="31" t="str">
        <f aca="false">IF(F273="","",IFERROR(INDEX(Reference_Data!$P$5:$P$14,MATCH(F273,Reference_Data!$O$5:$O$14,0)),0))</f>
        <v/>
      </c>
      <c r="M273" s="37"/>
      <c r="N273" s="37"/>
      <c r="O273" s="38"/>
      <c r="P273" s="37"/>
      <c r="Q273" s="31" t="n">
        <f aca="false">IF(AND(N273="Approved",L273&lt;&gt;""),L273,0)</f>
        <v>0</v>
      </c>
      <c r="R273" s="12"/>
    </row>
    <row r="274" customFormat="false" ht="15" hidden="false" customHeight="false" outlineLevel="0" collapsed="false">
      <c r="A274" s="37"/>
      <c r="B274" s="38"/>
      <c r="C274" s="37"/>
      <c r="D274" s="31" t="str">
        <f aca="false">IF($C274="","",IFERROR(INDEX(Employee_Master!$B$5:$B$104,MATCH($C274,Employee_Master!$A$5:$A$104,0)),"ID not found"))</f>
        <v/>
      </c>
      <c r="E274" s="31" t="str">
        <f aca="false">IF($C274="","",IFERROR(INDEX(Employee_Master!$C$5:$C$104,MATCH($C274,Employee_Master!$A$5:$A$104,0)),"ID not found"))</f>
        <v/>
      </c>
      <c r="F274" s="37"/>
      <c r="G274" s="37"/>
      <c r="H274" s="31" t="str">
        <f aca="false">IF(OR(C274="",G274=""),"",IF(G274&lt;&gt;E274,"Yes","No"))</f>
        <v/>
      </c>
      <c r="I274" s="12"/>
      <c r="J274" s="12"/>
      <c r="K274" s="37"/>
      <c r="L274" s="31" t="str">
        <f aca="false">IF(F274="","",IFERROR(INDEX(Reference_Data!$P$5:$P$14,MATCH(F274,Reference_Data!$O$5:$O$14,0)),0))</f>
        <v/>
      </c>
      <c r="M274" s="37"/>
      <c r="N274" s="37"/>
      <c r="O274" s="38"/>
      <c r="P274" s="37"/>
      <c r="Q274" s="31" t="n">
        <f aca="false">IF(AND(N274="Approved",L274&lt;&gt;""),L274,0)</f>
        <v>0</v>
      </c>
      <c r="R274" s="12"/>
    </row>
    <row r="275" customFormat="false" ht="15" hidden="false" customHeight="false" outlineLevel="0" collapsed="false">
      <c r="A275" s="37"/>
      <c r="B275" s="38"/>
      <c r="C275" s="37"/>
      <c r="D275" s="31" t="str">
        <f aca="false">IF($C275="","",IFERROR(INDEX(Employee_Master!$B$5:$B$104,MATCH($C275,Employee_Master!$A$5:$A$104,0)),"ID not found"))</f>
        <v/>
      </c>
      <c r="E275" s="31" t="str">
        <f aca="false">IF($C275="","",IFERROR(INDEX(Employee_Master!$C$5:$C$104,MATCH($C275,Employee_Master!$A$5:$A$104,0)),"ID not found"))</f>
        <v/>
      </c>
      <c r="F275" s="37"/>
      <c r="G275" s="37"/>
      <c r="H275" s="31" t="str">
        <f aca="false">IF(OR(C275="",G275=""),"",IF(G275&lt;&gt;E275,"Yes","No"))</f>
        <v/>
      </c>
      <c r="I275" s="12"/>
      <c r="J275" s="12"/>
      <c r="K275" s="37"/>
      <c r="L275" s="31" t="str">
        <f aca="false">IF(F275="","",IFERROR(INDEX(Reference_Data!$P$5:$P$14,MATCH(F275,Reference_Data!$O$5:$O$14,0)),0))</f>
        <v/>
      </c>
      <c r="M275" s="37"/>
      <c r="N275" s="37"/>
      <c r="O275" s="38"/>
      <c r="P275" s="37"/>
      <c r="Q275" s="31" t="n">
        <f aca="false">IF(AND(N275="Approved",L275&lt;&gt;""),L275,0)</f>
        <v>0</v>
      </c>
      <c r="R275" s="12"/>
    </row>
    <row r="276" customFormat="false" ht="15" hidden="false" customHeight="false" outlineLevel="0" collapsed="false">
      <c r="A276" s="37"/>
      <c r="B276" s="38"/>
      <c r="C276" s="37"/>
      <c r="D276" s="31" t="str">
        <f aca="false">IF($C276="","",IFERROR(INDEX(Employee_Master!$B$5:$B$104,MATCH($C276,Employee_Master!$A$5:$A$104,0)),"ID not found"))</f>
        <v/>
      </c>
      <c r="E276" s="31" t="str">
        <f aca="false">IF($C276="","",IFERROR(INDEX(Employee_Master!$C$5:$C$104,MATCH($C276,Employee_Master!$A$5:$A$104,0)),"ID not found"))</f>
        <v/>
      </c>
      <c r="F276" s="37"/>
      <c r="G276" s="37"/>
      <c r="H276" s="31" t="str">
        <f aca="false">IF(OR(C276="",G276=""),"",IF(G276&lt;&gt;E276,"Yes","No"))</f>
        <v/>
      </c>
      <c r="I276" s="12"/>
      <c r="J276" s="12"/>
      <c r="K276" s="37"/>
      <c r="L276" s="31" t="str">
        <f aca="false">IF(F276="","",IFERROR(INDEX(Reference_Data!$P$5:$P$14,MATCH(F276,Reference_Data!$O$5:$O$14,0)),0))</f>
        <v/>
      </c>
      <c r="M276" s="37"/>
      <c r="N276" s="37"/>
      <c r="O276" s="38"/>
      <c r="P276" s="37"/>
      <c r="Q276" s="31" t="n">
        <f aca="false">IF(AND(N276="Approved",L276&lt;&gt;""),L276,0)</f>
        <v>0</v>
      </c>
      <c r="R276" s="12"/>
    </row>
    <row r="277" customFormat="false" ht="15" hidden="false" customHeight="false" outlineLevel="0" collapsed="false">
      <c r="A277" s="37"/>
      <c r="B277" s="38"/>
      <c r="C277" s="37"/>
      <c r="D277" s="31" t="str">
        <f aca="false">IF($C277="","",IFERROR(INDEX(Employee_Master!$B$5:$B$104,MATCH($C277,Employee_Master!$A$5:$A$104,0)),"ID not found"))</f>
        <v/>
      </c>
      <c r="E277" s="31" t="str">
        <f aca="false">IF($C277="","",IFERROR(INDEX(Employee_Master!$C$5:$C$104,MATCH($C277,Employee_Master!$A$5:$A$104,0)),"ID not found"))</f>
        <v/>
      </c>
      <c r="F277" s="37"/>
      <c r="G277" s="37"/>
      <c r="H277" s="31" t="str">
        <f aca="false">IF(OR(C277="",G277=""),"",IF(G277&lt;&gt;E277,"Yes","No"))</f>
        <v/>
      </c>
      <c r="I277" s="12"/>
      <c r="J277" s="12"/>
      <c r="K277" s="37"/>
      <c r="L277" s="31" t="str">
        <f aca="false">IF(F277="","",IFERROR(INDEX(Reference_Data!$P$5:$P$14,MATCH(F277,Reference_Data!$O$5:$O$14,0)),0))</f>
        <v/>
      </c>
      <c r="M277" s="37"/>
      <c r="N277" s="37"/>
      <c r="O277" s="38"/>
      <c r="P277" s="37"/>
      <c r="Q277" s="31" t="n">
        <f aca="false">IF(AND(N277="Approved",L277&lt;&gt;""),L277,0)</f>
        <v>0</v>
      </c>
      <c r="R277" s="12"/>
    </row>
    <row r="278" customFormat="false" ht="15" hidden="false" customHeight="false" outlineLevel="0" collapsed="false">
      <c r="A278" s="37"/>
      <c r="B278" s="38"/>
      <c r="C278" s="37"/>
      <c r="D278" s="31" t="str">
        <f aca="false">IF($C278="","",IFERROR(INDEX(Employee_Master!$B$5:$B$104,MATCH($C278,Employee_Master!$A$5:$A$104,0)),"ID not found"))</f>
        <v/>
      </c>
      <c r="E278" s="31" t="str">
        <f aca="false">IF($C278="","",IFERROR(INDEX(Employee_Master!$C$5:$C$104,MATCH($C278,Employee_Master!$A$5:$A$104,0)),"ID not found"))</f>
        <v/>
      </c>
      <c r="F278" s="37"/>
      <c r="G278" s="37"/>
      <c r="H278" s="31" t="str">
        <f aca="false">IF(OR(C278="",G278=""),"",IF(G278&lt;&gt;E278,"Yes","No"))</f>
        <v/>
      </c>
      <c r="I278" s="12"/>
      <c r="J278" s="12"/>
      <c r="K278" s="37"/>
      <c r="L278" s="31" t="str">
        <f aca="false">IF(F278="","",IFERROR(INDEX(Reference_Data!$P$5:$P$14,MATCH(F278,Reference_Data!$O$5:$O$14,0)),0))</f>
        <v/>
      </c>
      <c r="M278" s="37"/>
      <c r="N278" s="37"/>
      <c r="O278" s="38"/>
      <c r="P278" s="37"/>
      <c r="Q278" s="31" t="n">
        <f aca="false">IF(AND(N278="Approved",L278&lt;&gt;""),L278,0)</f>
        <v>0</v>
      </c>
      <c r="R278" s="12"/>
    </row>
    <row r="279" customFormat="false" ht="15" hidden="false" customHeight="false" outlineLevel="0" collapsed="false">
      <c r="A279" s="37"/>
      <c r="B279" s="38"/>
      <c r="C279" s="37"/>
      <c r="D279" s="31" t="str">
        <f aca="false">IF($C279="","",IFERROR(INDEX(Employee_Master!$B$5:$B$104,MATCH($C279,Employee_Master!$A$5:$A$104,0)),"ID not found"))</f>
        <v/>
      </c>
      <c r="E279" s="31" t="str">
        <f aca="false">IF($C279="","",IFERROR(INDEX(Employee_Master!$C$5:$C$104,MATCH($C279,Employee_Master!$A$5:$A$104,0)),"ID not found"))</f>
        <v/>
      </c>
      <c r="F279" s="37"/>
      <c r="G279" s="37"/>
      <c r="H279" s="31" t="str">
        <f aca="false">IF(OR(C279="",G279=""),"",IF(G279&lt;&gt;E279,"Yes","No"))</f>
        <v/>
      </c>
      <c r="I279" s="12"/>
      <c r="J279" s="12"/>
      <c r="K279" s="37"/>
      <c r="L279" s="31" t="str">
        <f aca="false">IF(F279="","",IFERROR(INDEX(Reference_Data!$P$5:$P$14,MATCH(F279,Reference_Data!$O$5:$O$14,0)),0))</f>
        <v/>
      </c>
      <c r="M279" s="37"/>
      <c r="N279" s="37"/>
      <c r="O279" s="38"/>
      <c r="P279" s="37"/>
      <c r="Q279" s="31" t="n">
        <f aca="false">IF(AND(N279="Approved",L279&lt;&gt;""),L279,0)</f>
        <v>0</v>
      </c>
      <c r="R279" s="12"/>
    </row>
    <row r="280" customFormat="false" ht="15" hidden="false" customHeight="false" outlineLevel="0" collapsed="false">
      <c r="A280" s="37"/>
      <c r="B280" s="38"/>
      <c r="C280" s="37"/>
      <c r="D280" s="31" t="str">
        <f aca="false">IF($C280="","",IFERROR(INDEX(Employee_Master!$B$5:$B$104,MATCH($C280,Employee_Master!$A$5:$A$104,0)),"ID not found"))</f>
        <v/>
      </c>
      <c r="E280" s="31" t="str">
        <f aca="false">IF($C280="","",IFERROR(INDEX(Employee_Master!$C$5:$C$104,MATCH($C280,Employee_Master!$A$5:$A$104,0)),"ID not found"))</f>
        <v/>
      </c>
      <c r="F280" s="37"/>
      <c r="G280" s="37"/>
      <c r="H280" s="31" t="str">
        <f aca="false">IF(OR(C280="",G280=""),"",IF(G280&lt;&gt;E280,"Yes","No"))</f>
        <v/>
      </c>
      <c r="I280" s="12"/>
      <c r="J280" s="12"/>
      <c r="K280" s="37"/>
      <c r="L280" s="31" t="str">
        <f aca="false">IF(F280="","",IFERROR(INDEX(Reference_Data!$P$5:$P$14,MATCH(F280,Reference_Data!$O$5:$O$14,0)),0))</f>
        <v/>
      </c>
      <c r="M280" s="37"/>
      <c r="N280" s="37"/>
      <c r="O280" s="38"/>
      <c r="P280" s="37"/>
      <c r="Q280" s="31" t="n">
        <f aca="false">IF(AND(N280="Approved",L280&lt;&gt;""),L280,0)</f>
        <v>0</v>
      </c>
      <c r="R280" s="12"/>
    </row>
    <row r="281" customFormat="false" ht="15" hidden="false" customHeight="false" outlineLevel="0" collapsed="false">
      <c r="A281" s="37"/>
      <c r="B281" s="38"/>
      <c r="C281" s="37"/>
      <c r="D281" s="31" t="str">
        <f aca="false">IF($C281="","",IFERROR(INDEX(Employee_Master!$B$5:$B$104,MATCH($C281,Employee_Master!$A$5:$A$104,0)),"ID not found"))</f>
        <v/>
      </c>
      <c r="E281" s="31" t="str">
        <f aca="false">IF($C281="","",IFERROR(INDEX(Employee_Master!$C$5:$C$104,MATCH($C281,Employee_Master!$A$5:$A$104,0)),"ID not found"))</f>
        <v/>
      </c>
      <c r="F281" s="37"/>
      <c r="G281" s="37"/>
      <c r="H281" s="31" t="str">
        <f aca="false">IF(OR(C281="",G281=""),"",IF(G281&lt;&gt;E281,"Yes","No"))</f>
        <v/>
      </c>
      <c r="I281" s="12"/>
      <c r="J281" s="12"/>
      <c r="K281" s="37"/>
      <c r="L281" s="31" t="str">
        <f aca="false">IF(F281="","",IFERROR(INDEX(Reference_Data!$P$5:$P$14,MATCH(F281,Reference_Data!$O$5:$O$14,0)),0))</f>
        <v/>
      </c>
      <c r="M281" s="37"/>
      <c r="N281" s="37"/>
      <c r="O281" s="38"/>
      <c r="P281" s="37"/>
      <c r="Q281" s="31" t="n">
        <f aca="false">IF(AND(N281="Approved",L281&lt;&gt;""),L281,0)</f>
        <v>0</v>
      </c>
      <c r="R281" s="12"/>
    </row>
    <row r="282" customFormat="false" ht="15" hidden="false" customHeight="false" outlineLevel="0" collapsed="false">
      <c r="A282" s="37"/>
      <c r="B282" s="38"/>
      <c r="C282" s="37"/>
      <c r="D282" s="31" t="str">
        <f aca="false">IF($C282="","",IFERROR(INDEX(Employee_Master!$B$5:$B$104,MATCH($C282,Employee_Master!$A$5:$A$104,0)),"ID not found"))</f>
        <v/>
      </c>
      <c r="E282" s="31" t="str">
        <f aca="false">IF($C282="","",IFERROR(INDEX(Employee_Master!$C$5:$C$104,MATCH($C282,Employee_Master!$A$5:$A$104,0)),"ID not found"))</f>
        <v/>
      </c>
      <c r="F282" s="37"/>
      <c r="G282" s="37"/>
      <c r="H282" s="31" t="str">
        <f aca="false">IF(OR(C282="",G282=""),"",IF(G282&lt;&gt;E282,"Yes","No"))</f>
        <v/>
      </c>
      <c r="I282" s="12"/>
      <c r="J282" s="12"/>
      <c r="K282" s="37"/>
      <c r="L282" s="31" t="str">
        <f aca="false">IF(F282="","",IFERROR(INDEX(Reference_Data!$P$5:$P$14,MATCH(F282,Reference_Data!$O$5:$O$14,0)),0))</f>
        <v/>
      </c>
      <c r="M282" s="37"/>
      <c r="N282" s="37"/>
      <c r="O282" s="38"/>
      <c r="P282" s="37"/>
      <c r="Q282" s="31" t="n">
        <f aca="false">IF(AND(N282="Approved",L282&lt;&gt;""),L282,0)</f>
        <v>0</v>
      </c>
      <c r="R282" s="12"/>
    </row>
    <row r="283" customFormat="false" ht="15" hidden="false" customHeight="false" outlineLevel="0" collapsed="false">
      <c r="A283" s="37"/>
      <c r="B283" s="38"/>
      <c r="C283" s="37"/>
      <c r="D283" s="31" t="str">
        <f aca="false">IF($C283="","",IFERROR(INDEX(Employee_Master!$B$5:$B$104,MATCH($C283,Employee_Master!$A$5:$A$104,0)),"ID not found"))</f>
        <v/>
      </c>
      <c r="E283" s="31" t="str">
        <f aca="false">IF($C283="","",IFERROR(INDEX(Employee_Master!$C$5:$C$104,MATCH($C283,Employee_Master!$A$5:$A$104,0)),"ID not found"))</f>
        <v/>
      </c>
      <c r="F283" s="37"/>
      <c r="G283" s="37"/>
      <c r="H283" s="31" t="str">
        <f aca="false">IF(OR(C283="",G283=""),"",IF(G283&lt;&gt;E283,"Yes","No"))</f>
        <v/>
      </c>
      <c r="I283" s="12"/>
      <c r="J283" s="12"/>
      <c r="K283" s="37"/>
      <c r="L283" s="31" t="str">
        <f aca="false">IF(F283="","",IFERROR(INDEX(Reference_Data!$P$5:$P$14,MATCH(F283,Reference_Data!$O$5:$O$14,0)),0))</f>
        <v/>
      </c>
      <c r="M283" s="37"/>
      <c r="N283" s="37"/>
      <c r="O283" s="38"/>
      <c r="P283" s="37"/>
      <c r="Q283" s="31" t="n">
        <f aca="false">IF(AND(N283="Approved",L283&lt;&gt;""),L283,0)</f>
        <v>0</v>
      </c>
      <c r="R283" s="12"/>
    </row>
    <row r="284" customFormat="false" ht="15" hidden="false" customHeight="false" outlineLevel="0" collapsed="false">
      <c r="A284" s="37"/>
      <c r="B284" s="38"/>
      <c r="C284" s="37"/>
      <c r="D284" s="31" t="str">
        <f aca="false">IF($C284="","",IFERROR(INDEX(Employee_Master!$B$5:$B$104,MATCH($C284,Employee_Master!$A$5:$A$104,0)),"ID not found"))</f>
        <v/>
      </c>
      <c r="E284" s="31" t="str">
        <f aca="false">IF($C284="","",IFERROR(INDEX(Employee_Master!$C$5:$C$104,MATCH($C284,Employee_Master!$A$5:$A$104,0)),"ID not found"))</f>
        <v/>
      </c>
      <c r="F284" s="37"/>
      <c r="G284" s="37"/>
      <c r="H284" s="31" t="str">
        <f aca="false">IF(OR(C284="",G284=""),"",IF(G284&lt;&gt;E284,"Yes","No"))</f>
        <v/>
      </c>
      <c r="I284" s="12"/>
      <c r="J284" s="12"/>
      <c r="K284" s="37"/>
      <c r="L284" s="31" t="str">
        <f aca="false">IF(F284="","",IFERROR(INDEX(Reference_Data!$P$5:$P$14,MATCH(F284,Reference_Data!$O$5:$O$14,0)),0))</f>
        <v/>
      </c>
      <c r="M284" s="37"/>
      <c r="N284" s="37"/>
      <c r="O284" s="38"/>
      <c r="P284" s="37"/>
      <c r="Q284" s="31" t="n">
        <f aca="false">IF(AND(N284="Approved",L284&lt;&gt;""),L284,0)</f>
        <v>0</v>
      </c>
      <c r="R284" s="12"/>
    </row>
    <row r="285" customFormat="false" ht="15" hidden="false" customHeight="false" outlineLevel="0" collapsed="false">
      <c r="A285" s="37"/>
      <c r="B285" s="38"/>
      <c r="C285" s="37"/>
      <c r="D285" s="31" t="str">
        <f aca="false">IF($C285="","",IFERROR(INDEX(Employee_Master!$B$5:$B$104,MATCH($C285,Employee_Master!$A$5:$A$104,0)),"ID not found"))</f>
        <v/>
      </c>
      <c r="E285" s="31" t="str">
        <f aca="false">IF($C285="","",IFERROR(INDEX(Employee_Master!$C$5:$C$104,MATCH($C285,Employee_Master!$A$5:$A$104,0)),"ID not found"))</f>
        <v/>
      </c>
      <c r="F285" s="37"/>
      <c r="G285" s="37"/>
      <c r="H285" s="31" t="str">
        <f aca="false">IF(OR(C285="",G285=""),"",IF(G285&lt;&gt;E285,"Yes","No"))</f>
        <v/>
      </c>
      <c r="I285" s="12"/>
      <c r="J285" s="12"/>
      <c r="K285" s="37"/>
      <c r="L285" s="31" t="str">
        <f aca="false">IF(F285="","",IFERROR(INDEX(Reference_Data!$P$5:$P$14,MATCH(F285,Reference_Data!$O$5:$O$14,0)),0))</f>
        <v/>
      </c>
      <c r="M285" s="37"/>
      <c r="N285" s="37"/>
      <c r="O285" s="38"/>
      <c r="P285" s="37"/>
      <c r="Q285" s="31" t="n">
        <f aca="false">IF(AND(N285="Approved",L285&lt;&gt;""),L285,0)</f>
        <v>0</v>
      </c>
      <c r="R285" s="12"/>
    </row>
    <row r="286" customFormat="false" ht="15" hidden="false" customHeight="false" outlineLevel="0" collapsed="false">
      <c r="A286" s="37"/>
      <c r="B286" s="38"/>
      <c r="C286" s="37"/>
      <c r="D286" s="31" t="str">
        <f aca="false">IF($C286="","",IFERROR(INDEX(Employee_Master!$B$5:$B$104,MATCH($C286,Employee_Master!$A$5:$A$104,0)),"ID not found"))</f>
        <v/>
      </c>
      <c r="E286" s="31" t="str">
        <f aca="false">IF($C286="","",IFERROR(INDEX(Employee_Master!$C$5:$C$104,MATCH($C286,Employee_Master!$A$5:$A$104,0)),"ID not found"))</f>
        <v/>
      </c>
      <c r="F286" s="37"/>
      <c r="G286" s="37"/>
      <c r="H286" s="31" t="str">
        <f aca="false">IF(OR(C286="",G286=""),"",IF(G286&lt;&gt;E286,"Yes","No"))</f>
        <v/>
      </c>
      <c r="I286" s="12"/>
      <c r="J286" s="12"/>
      <c r="K286" s="37"/>
      <c r="L286" s="31" t="str">
        <f aca="false">IF(F286="","",IFERROR(INDEX(Reference_Data!$P$5:$P$14,MATCH(F286,Reference_Data!$O$5:$O$14,0)),0))</f>
        <v/>
      </c>
      <c r="M286" s="37"/>
      <c r="N286" s="37"/>
      <c r="O286" s="38"/>
      <c r="P286" s="37"/>
      <c r="Q286" s="31" t="n">
        <f aca="false">IF(AND(N286="Approved",L286&lt;&gt;""),L286,0)</f>
        <v>0</v>
      </c>
      <c r="R286" s="12"/>
    </row>
    <row r="287" customFormat="false" ht="15" hidden="false" customHeight="false" outlineLevel="0" collapsed="false">
      <c r="A287" s="37"/>
      <c r="B287" s="38"/>
      <c r="C287" s="37"/>
      <c r="D287" s="31" t="str">
        <f aca="false">IF($C287="","",IFERROR(INDEX(Employee_Master!$B$5:$B$104,MATCH($C287,Employee_Master!$A$5:$A$104,0)),"ID not found"))</f>
        <v/>
      </c>
      <c r="E287" s="31" t="str">
        <f aca="false">IF($C287="","",IFERROR(INDEX(Employee_Master!$C$5:$C$104,MATCH($C287,Employee_Master!$A$5:$A$104,0)),"ID not found"))</f>
        <v/>
      </c>
      <c r="F287" s="37"/>
      <c r="G287" s="37"/>
      <c r="H287" s="31" t="str">
        <f aca="false">IF(OR(C287="",G287=""),"",IF(G287&lt;&gt;E287,"Yes","No"))</f>
        <v/>
      </c>
      <c r="I287" s="12"/>
      <c r="J287" s="12"/>
      <c r="K287" s="37"/>
      <c r="L287" s="31" t="str">
        <f aca="false">IF(F287="","",IFERROR(INDEX(Reference_Data!$P$5:$P$14,MATCH(F287,Reference_Data!$O$5:$O$14,0)),0))</f>
        <v/>
      </c>
      <c r="M287" s="37"/>
      <c r="N287" s="37"/>
      <c r="O287" s="38"/>
      <c r="P287" s="37"/>
      <c r="Q287" s="31" t="n">
        <f aca="false">IF(AND(N287="Approved",L287&lt;&gt;""),L287,0)</f>
        <v>0</v>
      </c>
      <c r="R287" s="12"/>
    </row>
    <row r="288" customFormat="false" ht="15" hidden="false" customHeight="false" outlineLevel="0" collapsed="false">
      <c r="A288" s="37"/>
      <c r="B288" s="38"/>
      <c r="C288" s="37"/>
      <c r="D288" s="31" t="str">
        <f aca="false">IF($C288="","",IFERROR(INDEX(Employee_Master!$B$5:$B$104,MATCH($C288,Employee_Master!$A$5:$A$104,0)),"ID not found"))</f>
        <v/>
      </c>
      <c r="E288" s="31" t="str">
        <f aca="false">IF($C288="","",IFERROR(INDEX(Employee_Master!$C$5:$C$104,MATCH($C288,Employee_Master!$A$5:$A$104,0)),"ID not found"))</f>
        <v/>
      </c>
      <c r="F288" s="37"/>
      <c r="G288" s="37"/>
      <c r="H288" s="31" t="str">
        <f aca="false">IF(OR(C288="",G288=""),"",IF(G288&lt;&gt;E288,"Yes","No"))</f>
        <v/>
      </c>
      <c r="I288" s="12"/>
      <c r="J288" s="12"/>
      <c r="K288" s="37"/>
      <c r="L288" s="31" t="str">
        <f aca="false">IF(F288="","",IFERROR(INDEX(Reference_Data!$P$5:$P$14,MATCH(F288,Reference_Data!$O$5:$O$14,0)),0))</f>
        <v/>
      </c>
      <c r="M288" s="37"/>
      <c r="N288" s="37"/>
      <c r="O288" s="38"/>
      <c r="P288" s="37"/>
      <c r="Q288" s="31" t="n">
        <f aca="false">IF(AND(N288="Approved",L288&lt;&gt;""),L288,0)</f>
        <v>0</v>
      </c>
      <c r="R288" s="12"/>
    </row>
    <row r="289" customFormat="false" ht="15" hidden="false" customHeight="false" outlineLevel="0" collapsed="false">
      <c r="A289" s="37"/>
      <c r="B289" s="38"/>
      <c r="C289" s="37"/>
      <c r="D289" s="31" t="str">
        <f aca="false">IF($C289="","",IFERROR(INDEX(Employee_Master!$B$5:$B$104,MATCH($C289,Employee_Master!$A$5:$A$104,0)),"ID not found"))</f>
        <v/>
      </c>
      <c r="E289" s="31" t="str">
        <f aca="false">IF($C289="","",IFERROR(INDEX(Employee_Master!$C$5:$C$104,MATCH($C289,Employee_Master!$A$5:$A$104,0)),"ID not found"))</f>
        <v/>
      </c>
      <c r="F289" s="37"/>
      <c r="G289" s="37"/>
      <c r="H289" s="31" t="str">
        <f aca="false">IF(OR(C289="",G289=""),"",IF(G289&lt;&gt;E289,"Yes","No"))</f>
        <v/>
      </c>
      <c r="I289" s="12"/>
      <c r="J289" s="12"/>
      <c r="K289" s="37"/>
      <c r="L289" s="31" t="str">
        <f aca="false">IF(F289="","",IFERROR(INDEX(Reference_Data!$P$5:$P$14,MATCH(F289,Reference_Data!$O$5:$O$14,0)),0))</f>
        <v/>
      </c>
      <c r="M289" s="37"/>
      <c r="N289" s="37"/>
      <c r="O289" s="38"/>
      <c r="P289" s="37"/>
      <c r="Q289" s="31" t="n">
        <f aca="false">IF(AND(N289="Approved",L289&lt;&gt;""),L289,0)</f>
        <v>0</v>
      </c>
      <c r="R289" s="12"/>
    </row>
    <row r="290" customFormat="false" ht="15" hidden="false" customHeight="false" outlineLevel="0" collapsed="false">
      <c r="A290" s="37"/>
      <c r="B290" s="38"/>
      <c r="C290" s="37"/>
      <c r="D290" s="31" t="str">
        <f aca="false">IF($C290="","",IFERROR(INDEX(Employee_Master!$B$5:$B$104,MATCH($C290,Employee_Master!$A$5:$A$104,0)),"ID not found"))</f>
        <v/>
      </c>
      <c r="E290" s="31" t="str">
        <f aca="false">IF($C290="","",IFERROR(INDEX(Employee_Master!$C$5:$C$104,MATCH($C290,Employee_Master!$A$5:$A$104,0)),"ID not found"))</f>
        <v/>
      </c>
      <c r="F290" s="37"/>
      <c r="G290" s="37"/>
      <c r="H290" s="31" t="str">
        <f aca="false">IF(OR(C290="",G290=""),"",IF(G290&lt;&gt;E290,"Yes","No"))</f>
        <v/>
      </c>
      <c r="I290" s="12"/>
      <c r="J290" s="12"/>
      <c r="K290" s="37"/>
      <c r="L290" s="31" t="str">
        <f aca="false">IF(F290="","",IFERROR(INDEX(Reference_Data!$P$5:$P$14,MATCH(F290,Reference_Data!$O$5:$O$14,0)),0))</f>
        <v/>
      </c>
      <c r="M290" s="37"/>
      <c r="N290" s="37"/>
      <c r="O290" s="38"/>
      <c r="P290" s="37"/>
      <c r="Q290" s="31" t="n">
        <f aca="false">IF(AND(N290="Approved",L290&lt;&gt;""),L290,0)</f>
        <v>0</v>
      </c>
      <c r="R290" s="12"/>
    </row>
    <row r="291" customFormat="false" ht="15" hidden="false" customHeight="false" outlineLevel="0" collapsed="false">
      <c r="A291" s="37"/>
      <c r="B291" s="38"/>
      <c r="C291" s="37"/>
      <c r="D291" s="31" t="str">
        <f aca="false">IF($C291="","",IFERROR(INDEX(Employee_Master!$B$5:$B$104,MATCH($C291,Employee_Master!$A$5:$A$104,0)),"ID not found"))</f>
        <v/>
      </c>
      <c r="E291" s="31" t="str">
        <f aca="false">IF($C291="","",IFERROR(INDEX(Employee_Master!$C$5:$C$104,MATCH($C291,Employee_Master!$A$5:$A$104,0)),"ID not found"))</f>
        <v/>
      </c>
      <c r="F291" s="37"/>
      <c r="G291" s="37"/>
      <c r="H291" s="31" t="str">
        <f aca="false">IF(OR(C291="",G291=""),"",IF(G291&lt;&gt;E291,"Yes","No"))</f>
        <v/>
      </c>
      <c r="I291" s="12"/>
      <c r="J291" s="12"/>
      <c r="K291" s="37"/>
      <c r="L291" s="31" t="str">
        <f aca="false">IF(F291="","",IFERROR(INDEX(Reference_Data!$P$5:$P$14,MATCH(F291,Reference_Data!$O$5:$O$14,0)),0))</f>
        <v/>
      </c>
      <c r="M291" s="37"/>
      <c r="N291" s="37"/>
      <c r="O291" s="38"/>
      <c r="P291" s="37"/>
      <c r="Q291" s="31" t="n">
        <f aca="false">IF(AND(N291="Approved",L291&lt;&gt;""),L291,0)</f>
        <v>0</v>
      </c>
      <c r="R291" s="12"/>
    </row>
    <row r="292" customFormat="false" ht="15" hidden="false" customHeight="false" outlineLevel="0" collapsed="false">
      <c r="A292" s="37"/>
      <c r="B292" s="38"/>
      <c r="C292" s="37"/>
      <c r="D292" s="31" t="str">
        <f aca="false">IF($C292="","",IFERROR(INDEX(Employee_Master!$B$5:$B$104,MATCH($C292,Employee_Master!$A$5:$A$104,0)),"ID not found"))</f>
        <v/>
      </c>
      <c r="E292" s="31" t="str">
        <f aca="false">IF($C292="","",IFERROR(INDEX(Employee_Master!$C$5:$C$104,MATCH($C292,Employee_Master!$A$5:$A$104,0)),"ID not found"))</f>
        <v/>
      </c>
      <c r="F292" s="37"/>
      <c r="G292" s="37"/>
      <c r="H292" s="31" t="str">
        <f aca="false">IF(OR(C292="",G292=""),"",IF(G292&lt;&gt;E292,"Yes","No"))</f>
        <v/>
      </c>
      <c r="I292" s="12"/>
      <c r="J292" s="12"/>
      <c r="K292" s="37"/>
      <c r="L292" s="31" t="str">
        <f aca="false">IF(F292="","",IFERROR(INDEX(Reference_Data!$P$5:$P$14,MATCH(F292,Reference_Data!$O$5:$O$14,0)),0))</f>
        <v/>
      </c>
      <c r="M292" s="37"/>
      <c r="N292" s="37"/>
      <c r="O292" s="38"/>
      <c r="P292" s="37"/>
      <c r="Q292" s="31" t="n">
        <f aca="false">IF(AND(N292="Approved",L292&lt;&gt;""),L292,0)</f>
        <v>0</v>
      </c>
      <c r="R292" s="12"/>
    </row>
    <row r="293" customFormat="false" ht="15" hidden="false" customHeight="false" outlineLevel="0" collapsed="false">
      <c r="A293" s="37"/>
      <c r="B293" s="38"/>
      <c r="C293" s="37"/>
      <c r="D293" s="31" t="str">
        <f aca="false">IF($C293="","",IFERROR(INDEX(Employee_Master!$B$5:$B$104,MATCH($C293,Employee_Master!$A$5:$A$104,0)),"ID not found"))</f>
        <v/>
      </c>
      <c r="E293" s="31" t="str">
        <f aca="false">IF($C293="","",IFERROR(INDEX(Employee_Master!$C$5:$C$104,MATCH($C293,Employee_Master!$A$5:$A$104,0)),"ID not found"))</f>
        <v/>
      </c>
      <c r="F293" s="37"/>
      <c r="G293" s="37"/>
      <c r="H293" s="31" t="str">
        <f aca="false">IF(OR(C293="",G293=""),"",IF(G293&lt;&gt;E293,"Yes","No"))</f>
        <v/>
      </c>
      <c r="I293" s="12"/>
      <c r="J293" s="12"/>
      <c r="K293" s="37"/>
      <c r="L293" s="31" t="str">
        <f aca="false">IF(F293="","",IFERROR(INDEX(Reference_Data!$P$5:$P$14,MATCH(F293,Reference_Data!$O$5:$O$14,0)),0))</f>
        <v/>
      </c>
      <c r="M293" s="37"/>
      <c r="N293" s="37"/>
      <c r="O293" s="38"/>
      <c r="P293" s="37"/>
      <c r="Q293" s="31" t="n">
        <f aca="false">IF(AND(N293="Approved",L293&lt;&gt;""),L293,0)</f>
        <v>0</v>
      </c>
      <c r="R293" s="12"/>
    </row>
    <row r="294" customFormat="false" ht="15" hidden="false" customHeight="false" outlineLevel="0" collapsed="false">
      <c r="A294" s="37"/>
      <c r="B294" s="38"/>
      <c r="C294" s="37"/>
      <c r="D294" s="31" t="str">
        <f aca="false">IF($C294="","",IFERROR(INDEX(Employee_Master!$B$5:$B$104,MATCH($C294,Employee_Master!$A$5:$A$104,0)),"ID not found"))</f>
        <v/>
      </c>
      <c r="E294" s="31" t="str">
        <f aca="false">IF($C294="","",IFERROR(INDEX(Employee_Master!$C$5:$C$104,MATCH($C294,Employee_Master!$A$5:$A$104,0)),"ID not found"))</f>
        <v/>
      </c>
      <c r="F294" s="37"/>
      <c r="G294" s="37"/>
      <c r="H294" s="31" t="str">
        <f aca="false">IF(OR(C294="",G294=""),"",IF(G294&lt;&gt;E294,"Yes","No"))</f>
        <v/>
      </c>
      <c r="I294" s="12"/>
      <c r="J294" s="12"/>
      <c r="K294" s="37"/>
      <c r="L294" s="31" t="str">
        <f aca="false">IF(F294="","",IFERROR(INDEX(Reference_Data!$P$5:$P$14,MATCH(F294,Reference_Data!$O$5:$O$14,0)),0))</f>
        <v/>
      </c>
      <c r="M294" s="37"/>
      <c r="N294" s="37"/>
      <c r="O294" s="38"/>
      <c r="P294" s="37"/>
      <c r="Q294" s="31" t="n">
        <f aca="false">IF(AND(N294="Approved",L294&lt;&gt;""),L294,0)</f>
        <v>0</v>
      </c>
      <c r="R294" s="12"/>
    </row>
    <row r="295" customFormat="false" ht="15" hidden="false" customHeight="false" outlineLevel="0" collapsed="false">
      <c r="A295" s="37"/>
      <c r="B295" s="38"/>
      <c r="C295" s="37"/>
      <c r="D295" s="31" t="str">
        <f aca="false">IF($C295="","",IFERROR(INDEX(Employee_Master!$B$5:$B$104,MATCH($C295,Employee_Master!$A$5:$A$104,0)),"ID not found"))</f>
        <v/>
      </c>
      <c r="E295" s="31" t="str">
        <f aca="false">IF($C295="","",IFERROR(INDEX(Employee_Master!$C$5:$C$104,MATCH($C295,Employee_Master!$A$5:$A$104,0)),"ID not found"))</f>
        <v/>
      </c>
      <c r="F295" s="37"/>
      <c r="G295" s="37"/>
      <c r="H295" s="31" t="str">
        <f aca="false">IF(OR(C295="",G295=""),"",IF(G295&lt;&gt;E295,"Yes","No"))</f>
        <v/>
      </c>
      <c r="I295" s="12"/>
      <c r="J295" s="12"/>
      <c r="K295" s="37"/>
      <c r="L295" s="31" t="str">
        <f aca="false">IF(F295="","",IFERROR(INDEX(Reference_Data!$P$5:$P$14,MATCH(F295,Reference_Data!$O$5:$O$14,0)),0))</f>
        <v/>
      </c>
      <c r="M295" s="37"/>
      <c r="N295" s="37"/>
      <c r="O295" s="38"/>
      <c r="P295" s="37"/>
      <c r="Q295" s="31" t="n">
        <f aca="false">IF(AND(N295="Approved",L295&lt;&gt;""),L295,0)</f>
        <v>0</v>
      </c>
      <c r="R295" s="12"/>
    </row>
    <row r="296" customFormat="false" ht="15" hidden="false" customHeight="false" outlineLevel="0" collapsed="false">
      <c r="A296" s="37"/>
      <c r="B296" s="38"/>
      <c r="C296" s="37"/>
      <c r="D296" s="31" t="str">
        <f aca="false">IF($C296="","",IFERROR(INDEX(Employee_Master!$B$5:$B$104,MATCH($C296,Employee_Master!$A$5:$A$104,0)),"ID not found"))</f>
        <v/>
      </c>
      <c r="E296" s="31" t="str">
        <f aca="false">IF($C296="","",IFERROR(INDEX(Employee_Master!$C$5:$C$104,MATCH($C296,Employee_Master!$A$5:$A$104,0)),"ID not found"))</f>
        <v/>
      </c>
      <c r="F296" s="37"/>
      <c r="G296" s="37"/>
      <c r="H296" s="31" t="str">
        <f aca="false">IF(OR(C296="",G296=""),"",IF(G296&lt;&gt;E296,"Yes","No"))</f>
        <v/>
      </c>
      <c r="I296" s="12"/>
      <c r="J296" s="12"/>
      <c r="K296" s="37"/>
      <c r="L296" s="31" t="str">
        <f aca="false">IF(F296="","",IFERROR(INDEX(Reference_Data!$P$5:$P$14,MATCH(F296,Reference_Data!$O$5:$O$14,0)),0))</f>
        <v/>
      </c>
      <c r="M296" s="37"/>
      <c r="N296" s="37"/>
      <c r="O296" s="38"/>
      <c r="P296" s="37"/>
      <c r="Q296" s="31" t="n">
        <f aca="false">IF(AND(N296="Approved",L296&lt;&gt;""),L296,0)</f>
        <v>0</v>
      </c>
      <c r="R296" s="12"/>
    </row>
    <row r="297" customFormat="false" ht="15" hidden="false" customHeight="false" outlineLevel="0" collapsed="false">
      <c r="A297" s="37"/>
      <c r="B297" s="38"/>
      <c r="C297" s="37"/>
      <c r="D297" s="31" t="str">
        <f aca="false">IF($C297="","",IFERROR(INDEX(Employee_Master!$B$5:$B$104,MATCH($C297,Employee_Master!$A$5:$A$104,0)),"ID not found"))</f>
        <v/>
      </c>
      <c r="E297" s="31" t="str">
        <f aca="false">IF($C297="","",IFERROR(INDEX(Employee_Master!$C$5:$C$104,MATCH($C297,Employee_Master!$A$5:$A$104,0)),"ID not found"))</f>
        <v/>
      </c>
      <c r="F297" s="37"/>
      <c r="G297" s="37"/>
      <c r="H297" s="31" t="str">
        <f aca="false">IF(OR(C297="",G297=""),"",IF(G297&lt;&gt;E297,"Yes","No"))</f>
        <v/>
      </c>
      <c r="I297" s="12"/>
      <c r="J297" s="12"/>
      <c r="K297" s="37"/>
      <c r="L297" s="31" t="str">
        <f aca="false">IF(F297="","",IFERROR(INDEX(Reference_Data!$P$5:$P$14,MATCH(F297,Reference_Data!$O$5:$O$14,0)),0))</f>
        <v/>
      </c>
      <c r="M297" s="37"/>
      <c r="N297" s="37"/>
      <c r="O297" s="38"/>
      <c r="P297" s="37"/>
      <c r="Q297" s="31" t="n">
        <f aca="false">IF(AND(N297="Approved",L297&lt;&gt;""),L297,0)</f>
        <v>0</v>
      </c>
      <c r="R297" s="12"/>
    </row>
    <row r="298" customFormat="false" ht="15" hidden="false" customHeight="false" outlineLevel="0" collapsed="false">
      <c r="A298" s="37"/>
      <c r="B298" s="38"/>
      <c r="C298" s="37"/>
      <c r="D298" s="31" t="str">
        <f aca="false">IF($C298="","",IFERROR(INDEX(Employee_Master!$B$5:$B$104,MATCH($C298,Employee_Master!$A$5:$A$104,0)),"ID not found"))</f>
        <v/>
      </c>
      <c r="E298" s="31" t="str">
        <f aca="false">IF($C298="","",IFERROR(INDEX(Employee_Master!$C$5:$C$104,MATCH($C298,Employee_Master!$A$5:$A$104,0)),"ID not found"))</f>
        <v/>
      </c>
      <c r="F298" s="37"/>
      <c r="G298" s="37"/>
      <c r="H298" s="31" t="str">
        <f aca="false">IF(OR(C298="",G298=""),"",IF(G298&lt;&gt;E298,"Yes","No"))</f>
        <v/>
      </c>
      <c r="I298" s="12"/>
      <c r="J298" s="12"/>
      <c r="K298" s="37"/>
      <c r="L298" s="31" t="str">
        <f aca="false">IF(F298="","",IFERROR(INDEX(Reference_Data!$P$5:$P$14,MATCH(F298,Reference_Data!$O$5:$O$14,0)),0))</f>
        <v/>
      </c>
      <c r="M298" s="37"/>
      <c r="N298" s="37"/>
      <c r="O298" s="38"/>
      <c r="P298" s="37"/>
      <c r="Q298" s="31" t="n">
        <f aca="false">IF(AND(N298="Approved",L298&lt;&gt;""),L298,0)</f>
        <v>0</v>
      </c>
      <c r="R298" s="12"/>
    </row>
    <row r="299" customFormat="false" ht="15" hidden="false" customHeight="false" outlineLevel="0" collapsed="false">
      <c r="A299" s="37"/>
      <c r="B299" s="38"/>
      <c r="C299" s="37"/>
      <c r="D299" s="31" t="str">
        <f aca="false">IF($C299="","",IFERROR(INDEX(Employee_Master!$B$5:$B$104,MATCH($C299,Employee_Master!$A$5:$A$104,0)),"ID not found"))</f>
        <v/>
      </c>
      <c r="E299" s="31" t="str">
        <f aca="false">IF($C299="","",IFERROR(INDEX(Employee_Master!$C$5:$C$104,MATCH($C299,Employee_Master!$A$5:$A$104,0)),"ID not found"))</f>
        <v/>
      </c>
      <c r="F299" s="37"/>
      <c r="G299" s="37"/>
      <c r="H299" s="31" t="str">
        <f aca="false">IF(OR(C299="",G299=""),"",IF(G299&lt;&gt;E299,"Yes","No"))</f>
        <v/>
      </c>
      <c r="I299" s="12"/>
      <c r="J299" s="12"/>
      <c r="K299" s="37"/>
      <c r="L299" s="31" t="str">
        <f aca="false">IF(F299="","",IFERROR(INDEX(Reference_Data!$P$5:$P$14,MATCH(F299,Reference_Data!$O$5:$O$14,0)),0))</f>
        <v/>
      </c>
      <c r="M299" s="37"/>
      <c r="N299" s="37"/>
      <c r="O299" s="38"/>
      <c r="P299" s="37"/>
      <c r="Q299" s="31" t="n">
        <f aca="false">IF(AND(N299="Approved",L299&lt;&gt;""),L299,0)</f>
        <v>0</v>
      </c>
      <c r="R299" s="12"/>
    </row>
    <row r="300" customFormat="false" ht="15" hidden="false" customHeight="false" outlineLevel="0" collapsed="false">
      <c r="A300" s="37"/>
      <c r="B300" s="38"/>
      <c r="C300" s="37"/>
      <c r="D300" s="31" t="str">
        <f aca="false">IF($C300="","",IFERROR(INDEX(Employee_Master!$B$5:$B$104,MATCH($C300,Employee_Master!$A$5:$A$104,0)),"ID not found"))</f>
        <v/>
      </c>
      <c r="E300" s="31" t="str">
        <f aca="false">IF($C300="","",IFERROR(INDEX(Employee_Master!$C$5:$C$104,MATCH($C300,Employee_Master!$A$5:$A$104,0)),"ID not found"))</f>
        <v/>
      </c>
      <c r="F300" s="37"/>
      <c r="G300" s="37"/>
      <c r="H300" s="31" t="str">
        <f aca="false">IF(OR(C300="",G300=""),"",IF(G300&lt;&gt;E300,"Yes","No"))</f>
        <v/>
      </c>
      <c r="I300" s="12"/>
      <c r="J300" s="12"/>
      <c r="K300" s="37"/>
      <c r="L300" s="31" t="str">
        <f aca="false">IF(F300="","",IFERROR(INDEX(Reference_Data!$P$5:$P$14,MATCH(F300,Reference_Data!$O$5:$O$14,0)),0))</f>
        <v/>
      </c>
      <c r="M300" s="37"/>
      <c r="N300" s="37"/>
      <c r="O300" s="38"/>
      <c r="P300" s="37"/>
      <c r="Q300" s="31" t="n">
        <f aca="false">IF(AND(N300="Approved",L300&lt;&gt;""),L300,0)</f>
        <v>0</v>
      </c>
      <c r="R300" s="12"/>
    </row>
    <row r="301" customFormat="false" ht="15" hidden="false" customHeight="false" outlineLevel="0" collapsed="false">
      <c r="A301" s="37"/>
      <c r="B301" s="38"/>
      <c r="C301" s="37"/>
      <c r="D301" s="31" t="str">
        <f aca="false">IF($C301="","",IFERROR(INDEX(Employee_Master!$B$5:$B$104,MATCH($C301,Employee_Master!$A$5:$A$104,0)),"ID not found"))</f>
        <v/>
      </c>
      <c r="E301" s="31" t="str">
        <f aca="false">IF($C301="","",IFERROR(INDEX(Employee_Master!$C$5:$C$104,MATCH($C301,Employee_Master!$A$5:$A$104,0)),"ID not found"))</f>
        <v/>
      </c>
      <c r="F301" s="37"/>
      <c r="G301" s="37"/>
      <c r="H301" s="31" t="str">
        <f aca="false">IF(OR(C301="",G301=""),"",IF(G301&lt;&gt;E301,"Yes","No"))</f>
        <v/>
      </c>
      <c r="I301" s="12"/>
      <c r="J301" s="12"/>
      <c r="K301" s="37"/>
      <c r="L301" s="31" t="str">
        <f aca="false">IF(F301="","",IFERROR(INDEX(Reference_Data!$P$5:$P$14,MATCH(F301,Reference_Data!$O$5:$O$14,0)),0))</f>
        <v/>
      </c>
      <c r="M301" s="37"/>
      <c r="N301" s="37"/>
      <c r="O301" s="38"/>
      <c r="P301" s="37"/>
      <c r="Q301" s="31" t="n">
        <f aca="false">IF(AND(N301="Approved",L301&lt;&gt;""),L301,0)</f>
        <v>0</v>
      </c>
      <c r="R301" s="12"/>
    </row>
    <row r="302" customFormat="false" ht="15" hidden="false" customHeight="false" outlineLevel="0" collapsed="false">
      <c r="A302" s="37"/>
      <c r="B302" s="38"/>
      <c r="C302" s="37"/>
      <c r="D302" s="31" t="str">
        <f aca="false">IF($C302="","",IFERROR(INDEX(Employee_Master!$B$5:$B$104,MATCH($C302,Employee_Master!$A$5:$A$104,0)),"ID not found"))</f>
        <v/>
      </c>
      <c r="E302" s="31" t="str">
        <f aca="false">IF($C302="","",IFERROR(INDEX(Employee_Master!$C$5:$C$104,MATCH($C302,Employee_Master!$A$5:$A$104,0)),"ID not found"))</f>
        <v/>
      </c>
      <c r="F302" s="37"/>
      <c r="G302" s="37"/>
      <c r="H302" s="31" t="str">
        <f aca="false">IF(OR(C302="",G302=""),"",IF(G302&lt;&gt;E302,"Yes","No"))</f>
        <v/>
      </c>
      <c r="I302" s="12"/>
      <c r="J302" s="12"/>
      <c r="K302" s="37"/>
      <c r="L302" s="31" t="str">
        <f aca="false">IF(F302="","",IFERROR(INDEX(Reference_Data!$P$5:$P$14,MATCH(F302,Reference_Data!$O$5:$O$14,0)),0))</f>
        <v/>
      </c>
      <c r="M302" s="37"/>
      <c r="N302" s="37"/>
      <c r="O302" s="38"/>
      <c r="P302" s="37"/>
      <c r="Q302" s="31" t="n">
        <f aca="false">IF(AND(N302="Approved",L302&lt;&gt;""),L302,0)</f>
        <v>0</v>
      </c>
      <c r="R302" s="12"/>
    </row>
    <row r="303" customFormat="false" ht="15" hidden="false" customHeight="false" outlineLevel="0" collapsed="false">
      <c r="A303" s="37"/>
      <c r="B303" s="38"/>
      <c r="C303" s="37"/>
      <c r="D303" s="31" t="str">
        <f aca="false">IF($C303="","",IFERROR(INDEX(Employee_Master!$B$5:$B$104,MATCH($C303,Employee_Master!$A$5:$A$104,0)),"ID not found"))</f>
        <v/>
      </c>
      <c r="E303" s="31" t="str">
        <f aca="false">IF($C303="","",IFERROR(INDEX(Employee_Master!$C$5:$C$104,MATCH($C303,Employee_Master!$A$5:$A$104,0)),"ID not found"))</f>
        <v/>
      </c>
      <c r="F303" s="37"/>
      <c r="G303" s="37"/>
      <c r="H303" s="31" t="str">
        <f aca="false">IF(OR(C303="",G303=""),"",IF(G303&lt;&gt;E303,"Yes","No"))</f>
        <v/>
      </c>
      <c r="I303" s="12"/>
      <c r="J303" s="12"/>
      <c r="K303" s="37"/>
      <c r="L303" s="31" t="str">
        <f aca="false">IF(F303="","",IFERROR(INDEX(Reference_Data!$P$5:$P$14,MATCH(F303,Reference_Data!$O$5:$O$14,0)),0))</f>
        <v/>
      </c>
      <c r="M303" s="37"/>
      <c r="N303" s="37"/>
      <c r="O303" s="38"/>
      <c r="P303" s="37"/>
      <c r="Q303" s="31" t="n">
        <f aca="false">IF(AND(N303="Approved",L303&lt;&gt;""),L303,0)</f>
        <v>0</v>
      </c>
      <c r="R303" s="12"/>
    </row>
    <row r="304" customFormat="false" ht="15" hidden="false" customHeight="false" outlineLevel="0" collapsed="false">
      <c r="A304" s="37"/>
      <c r="B304" s="38"/>
      <c r="C304" s="37"/>
      <c r="D304" s="31" t="str">
        <f aca="false">IF($C304="","",IFERROR(INDEX(Employee_Master!$B$5:$B$104,MATCH($C304,Employee_Master!$A$5:$A$104,0)),"ID not found"))</f>
        <v/>
      </c>
      <c r="E304" s="31" t="str">
        <f aca="false">IF($C304="","",IFERROR(INDEX(Employee_Master!$C$5:$C$104,MATCH($C304,Employee_Master!$A$5:$A$104,0)),"ID not found"))</f>
        <v/>
      </c>
      <c r="F304" s="37"/>
      <c r="G304" s="37"/>
      <c r="H304" s="31" t="str">
        <f aca="false">IF(OR(C304="",G304=""),"",IF(G304&lt;&gt;E304,"Yes","No"))</f>
        <v/>
      </c>
      <c r="I304" s="12"/>
      <c r="J304" s="12"/>
      <c r="K304" s="37"/>
      <c r="L304" s="31" t="str">
        <f aca="false">IF(F304="","",IFERROR(INDEX(Reference_Data!$P$5:$P$14,MATCH(F304,Reference_Data!$O$5:$O$14,0)),0))</f>
        <v/>
      </c>
      <c r="M304" s="37"/>
      <c r="N304" s="37"/>
      <c r="O304" s="38"/>
      <c r="P304" s="37"/>
      <c r="Q304" s="31" t="n">
        <f aca="false">IF(AND(N304="Approved",L304&lt;&gt;""),L304,0)</f>
        <v>0</v>
      </c>
      <c r="R304" s="12"/>
    </row>
  </sheetData>
  <autoFilter ref="A4:R304"/>
  <conditionalFormatting sqref="M5:M304">
    <cfRule type="expression" priority="2" aboveAverage="0" equalAverage="0" bottom="0" percent="0" rank="0" text="" dxfId="10">
      <formula>AND($H5="Yes",$M5="")</formula>
    </cfRule>
  </conditionalFormatting>
  <conditionalFormatting sqref="N5:N304">
    <cfRule type="cellIs" priority="3" operator="equal" aboveAverage="0" equalAverage="0" bottom="0" percent="0" rank="0" text="" dxfId="8">
      <formula>"Approved"</formula>
    </cfRule>
    <cfRule type="cellIs" priority="4" operator="equal" aboveAverage="0" equalAverage="0" bottom="0" percent="0" rank="0" text="" dxfId="11">
      <formula>"Pending"</formula>
    </cfRule>
    <cfRule type="cellIs" priority="5" operator="equal" aboveAverage="0" equalAverage="0" bottom="0" percent="0" rank="0" text="" dxfId="14">
      <formula>"Declined"</formula>
    </cfRule>
  </conditionalFormatting>
  <dataValidations count="5">
    <dataValidation allowBlank="true" error="Select a value from the dropdown list." errorStyle="stop" errorTitle="Invalid entry" operator="between" showDropDown="false" showErrorMessage="true" showInputMessage="false" sqref="C5:C304" type="list">
      <formula1>List_EmployeeID</formula1>
      <formula2>0</formula2>
    </dataValidation>
    <dataValidation allowBlank="true" error="Select a value from the dropdown list." errorStyle="stop" errorTitle="Invalid entry" operator="between" showDropDown="false" showErrorMessage="true" showInputMessage="false" sqref="F5:F304" type="list">
      <formula1>List_Recognition</formula1>
      <formula2>0</formula2>
    </dataValidation>
    <dataValidation allowBlank="true" error="Select a value from the dropdown list." errorStyle="stop" errorTitle="Invalid entry" operator="between" prompt="Department that benefited from the contribution." promptTitle="Input" showDropDown="false" showErrorMessage="true" showInputMessage="true" sqref="G5:G304" type="list">
      <formula1>List_Department</formula1>
      <formula2>0</formula2>
    </dataValidation>
    <dataValidation allowBlank="true" error="Select a value from the dropdown list." errorStyle="stop" errorTitle="Invalid entry" operator="between" showDropDown="false" showErrorMessage="true" showInputMessage="false" sqref="N5:N304" type="list">
      <formula1>List_Approval</formula1>
      <formula2>0</formula2>
    </dataValidation>
    <dataValidation allowBlank="true" error="Select a value from the dropdown list." errorStyle="stop" errorTitle="Invalid entry" operator="between" showDropDown="false" showErrorMessage="true" showInputMessage="false" sqref="P5:P304" type="list">
      <formula1>List_Award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22"/>
    <col collapsed="false" customWidth="true" hidden="false" outlineLevel="0" max="5" min="5" style="0" width="18"/>
    <col collapsed="false" customWidth="true" hidden="false" outlineLevel="0" max="6" min="6" style="0" width="11"/>
    <col collapsed="false" customWidth="true" hidden="false" outlineLevel="0" max="7" min="7" style="0" width="22"/>
    <col collapsed="false" customWidth="true" hidden="false" outlineLevel="0" max="8" min="8" style="0" width="10"/>
    <col collapsed="false" customWidth="true" hidden="false" outlineLevel="0" max="9" min="9" style="0" width="40"/>
    <col collapsed="false" customWidth="true" hidden="false" outlineLevel="0" max="10" min="10" style="0" width="28"/>
    <col collapsed="false" customWidth="true" hidden="false" outlineLevel="0" max="11" min="11" style="0" width="9"/>
    <col collapsed="false" customWidth="true" hidden="false" outlineLevel="0" max="13" min="12" style="0" width="13"/>
    <col collapsed="false" customWidth="true" hidden="false" outlineLevel="0" max="14" min="14" style="0" width="12"/>
    <col collapsed="false" customWidth="true" hidden="false" outlineLevel="0" max="15" min="15" style="0" width="14"/>
    <col collapsed="false" customWidth="true" hidden="false" outlineLevel="0" max="16" min="16" style="0" width="11"/>
    <col collapsed="false" customWidth="true" hidden="false" outlineLevel="0" max="18" min="17" style="0" width="12"/>
    <col collapsed="false" customWidth="true" hidden="false" outlineLevel="0" max="19" min="19" style="0" width="14"/>
    <col collapsed="false" customWidth="true" hidden="false" outlineLevel="0" max="20" min="20" style="0" width="10"/>
    <col collapsed="false" customWidth="true" hidden="false" outlineLevel="0" max="21" min="21" style="0" width="30"/>
  </cols>
  <sheetData>
    <row r="1" customFormat="false" ht="17.35" hidden="false" customHeight="false" outlineLevel="0" collapsed="false">
      <c r="A1" s="14" t="s">
        <v>381</v>
      </c>
    </row>
    <row r="2" customFormat="false" ht="15" hidden="false" customHeight="false" outlineLevel="0" collapsed="false">
      <c r="A2" s="2" t="s">
        <v>382</v>
      </c>
    </row>
    <row r="3" customFormat="false" ht="15" hidden="false" customHeight="false" outlineLevel="0" collapsed="false">
      <c r="A3" s="35" t="s">
        <v>224</v>
      </c>
    </row>
    <row r="4" customFormat="false" ht="31.5" hidden="false" customHeight="true" outlineLevel="0" collapsed="false">
      <c r="A4" s="36" t="s">
        <v>383</v>
      </c>
      <c r="B4" s="36" t="s">
        <v>384</v>
      </c>
      <c r="C4" s="36" t="s">
        <v>215</v>
      </c>
      <c r="D4" s="11" t="s">
        <v>216</v>
      </c>
      <c r="E4" s="11" t="s">
        <v>192</v>
      </c>
      <c r="F4" s="36" t="s">
        <v>385</v>
      </c>
      <c r="G4" s="36" t="s">
        <v>386</v>
      </c>
      <c r="H4" s="36" t="s">
        <v>95</v>
      </c>
      <c r="I4" s="36" t="s">
        <v>387</v>
      </c>
      <c r="J4" s="36" t="s">
        <v>99</v>
      </c>
      <c r="K4" s="11" t="s">
        <v>101</v>
      </c>
      <c r="L4" s="36" t="s">
        <v>388</v>
      </c>
      <c r="M4" s="36" t="s">
        <v>389</v>
      </c>
      <c r="N4" s="36" t="s">
        <v>390</v>
      </c>
      <c r="O4" s="36" t="s">
        <v>391</v>
      </c>
      <c r="P4" s="36" t="s">
        <v>392</v>
      </c>
      <c r="Q4" s="36" t="s">
        <v>393</v>
      </c>
      <c r="R4" s="36" t="s">
        <v>394</v>
      </c>
      <c r="S4" s="36" t="s">
        <v>395</v>
      </c>
      <c r="T4" s="11" t="s">
        <v>396</v>
      </c>
      <c r="U4" s="36" t="s">
        <v>241</v>
      </c>
    </row>
    <row r="5" customFormat="false" ht="15" hidden="false" customHeight="false" outlineLevel="0" collapsed="false">
      <c r="A5" s="37" t="s">
        <v>397</v>
      </c>
      <c r="B5" s="38" t="n">
        <v>46120</v>
      </c>
      <c r="C5" s="37" t="s">
        <v>250</v>
      </c>
      <c r="D5" s="31" t="str">
        <f aca="false">IF($C5="","",IFERROR(INDEX(Employee_Master!$B$5:$B$104,MATCH($C5,Employee_Master!$A$5:$A$104,0)),"ID not found"))</f>
        <v>Carlo Mendoza</v>
      </c>
      <c r="E5" s="31" t="str">
        <f aca="false">IF($C5="","",IFERROR(INDEX(Employee_Master!$C$5:$C$104,MATCH($C5,Employee_Master!$A$5:$A$104,0)),"ID not found"))</f>
        <v>Design</v>
      </c>
      <c r="F5" s="37" t="s">
        <v>275</v>
      </c>
      <c r="G5" s="37" t="s">
        <v>398</v>
      </c>
      <c r="H5" s="37" t="s">
        <v>279</v>
      </c>
      <c r="I5" s="12" t="s">
        <v>399</v>
      </c>
      <c r="J5" s="37" t="s">
        <v>400</v>
      </c>
      <c r="K5" s="31" t="n">
        <f aca="false">IF(J5="","",IFERROR(INDEX(Reference_Data!$T$5:$T$14,MATCH(J5,Reference_Data!$S$5:$S$14,0)),0))</f>
        <v>0</v>
      </c>
      <c r="L5" s="38"/>
      <c r="M5" s="38"/>
      <c r="N5" s="38" t="n">
        <v>46122</v>
      </c>
      <c r="O5" s="37" t="s">
        <v>248</v>
      </c>
      <c r="P5" s="37" t="s">
        <v>247</v>
      </c>
      <c r="Q5" s="37" t="s">
        <v>289</v>
      </c>
      <c r="R5" s="38" t="n">
        <v>46142</v>
      </c>
      <c r="S5" s="37" t="s">
        <v>401</v>
      </c>
      <c r="T5" s="31" t="n">
        <f aca="false">IF(OR(K5="",N5="",S5="Voided / Rescinded"),0,K5)</f>
        <v>0</v>
      </c>
      <c r="U5" s="12"/>
    </row>
    <row r="6" customFormat="false" ht="15" hidden="false" customHeight="false" outlineLevel="0" collapsed="false">
      <c r="A6" s="37" t="s">
        <v>402</v>
      </c>
      <c r="B6" s="38" t="n">
        <v>46154</v>
      </c>
      <c r="C6" s="37" t="s">
        <v>270</v>
      </c>
      <c r="D6" s="31" t="str">
        <f aca="false">IF($C6="","",IFERROR(INDEX(Employee_Master!$B$5:$B$104,MATCH($C6,Employee_Master!$A$5:$A$104,0)),"ID not found"))</f>
        <v>Jomar Dela Cruz</v>
      </c>
      <c r="E6" s="31" t="str">
        <f aca="false">IF($C6="","",IFERROR(INDEX(Employee_Master!$C$5:$C$104,MATCH($C6,Employee_Master!$A$5:$A$104,0)),"ID not found"))</f>
        <v>Design</v>
      </c>
      <c r="F6" s="37" t="s">
        <v>281</v>
      </c>
      <c r="G6" s="37" t="s">
        <v>398</v>
      </c>
      <c r="H6" s="37" t="s">
        <v>284</v>
      </c>
      <c r="I6" s="12" t="s">
        <v>403</v>
      </c>
      <c r="J6" s="37" t="s">
        <v>404</v>
      </c>
      <c r="K6" s="31" t="n">
        <f aca="false">IF(J6="","",IFERROR(INDEX(Reference_Data!$T$5:$T$14,MATCH(J6,Reference_Data!$S$5:$S$14,0)),0))</f>
        <v>15</v>
      </c>
      <c r="L6" s="38" t="n">
        <v>46155</v>
      </c>
      <c r="M6" s="38" t="n">
        <v>46160</v>
      </c>
      <c r="N6" s="38" t="n">
        <v>46164</v>
      </c>
      <c r="O6" s="37" t="s">
        <v>248</v>
      </c>
      <c r="P6" s="37" t="s">
        <v>289</v>
      </c>
      <c r="Q6" s="37" t="s">
        <v>289</v>
      </c>
      <c r="R6" s="38" t="n">
        <v>46188</v>
      </c>
      <c r="S6" s="37" t="s">
        <v>401</v>
      </c>
      <c r="T6" s="31" t="n">
        <f aca="false">IF(OR(K6="",N6="",S6="Voided / Rescinded"),0,K6)</f>
        <v>15</v>
      </c>
      <c r="U6" s="12"/>
    </row>
    <row r="7" customFormat="false" ht="23.85" hidden="false" customHeight="false" outlineLevel="0" collapsed="false">
      <c r="A7" s="37" t="s">
        <v>405</v>
      </c>
      <c r="B7" s="38" t="n">
        <v>46193</v>
      </c>
      <c r="C7" s="37" t="s">
        <v>270</v>
      </c>
      <c r="D7" s="31" t="str">
        <f aca="false">IF($C7="","",IFERROR(INDEX(Employee_Master!$B$5:$B$104,MATCH($C7,Employee_Master!$A$5:$A$104,0)),"ID not found"))</f>
        <v>Jomar Dela Cruz</v>
      </c>
      <c r="E7" s="31" t="str">
        <f aca="false">IF($C7="","",IFERROR(INDEX(Employee_Master!$C$5:$C$104,MATCH($C7,Employee_Master!$A$5:$A$104,0)),"ID not found"))</f>
        <v>Design</v>
      </c>
      <c r="F7" s="37" t="s">
        <v>286</v>
      </c>
      <c r="G7" s="37" t="s">
        <v>406</v>
      </c>
      <c r="H7" s="37" t="s">
        <v>197</v>
      </c>
      <c r="I7" s="12" t="s">
        <v>407</v>
      </c>
      <c r="J7" s="37" t="s">
        <v>287</v>
      </c>
      <c r="K7" s="31" t="n">
        <f aca="false">IF(J7="","",IFERROR(INDEX(Reference_Data!$T$5:$T$14,MATCH(J7,Reference_Data!$S$5:$S$14,0)),0))</f>
        <v>30</v>
      </c>
      <c r="L7" s="38" t="n">
        <v>46194</v>
      </c>
      <c r="M7" s="38" t="n">
        <v>46197</v>
      </c>
      <c r="N7" s="38" t="n">
        <v>46198</v>
      </c>
      <c r="O7" s="37" t="s">
        <v>248</v>
      </c>
      <c r="P7" s="37" t="s">
        <v>289</v>
      </c>
      <c r="Q7" s="37" t="s">
        <v>289</v>
      </c>
      <c r="R7" s="38" t="n">
        <v>46218</v>
      </c>
      <c r="S7" s="37" t="s">
        <v>401</v>
      </c>
      <c r="T7" s="31" t="n">
        <f aca="false">IF(OR(K7="",N7="",S7="Voided / Rescinded"),0,K7)</f>
        <v>30</v>
      </c>
      <c r="U7" s="12" t="s">
        <v>408</v>
      </c>
    </row>
    <row r="8" customFormat="false" ht="15" hidden="false" customHeight="false" outlineLevel="0" collapsed="false">
      <c r="A8" s="37" t="s">
        <v>409</v>
      </c>
      <c r="B8" s="38" t="n">
        <v>46127</v>
      </c>
      <c r="C8" s="37" t="s">
        <v>261</v>
      </c>
      <c r="D8" s="31" t="str">
        <f aca="false">IF($C8="","",IFERROR(INDEX(Employee_Master!$B$5:$B$104,MATCH($C8,Employee_Master!$A$5:$A$104,0)),"ID not found"))</f>
        <v>Francis Aquino</v>
      </c>
      <c r="E8" s="31" t="str">
        <f aca="false">IF($C8="","",IFERROR(INDEX(Employee_Master!$C$5:$C$104,MATCH($C8,Employee_Master!$A$5:$A$104,0)),"ID not found"))</f>
        <v>Interconnection</v>
      </c>
      <c r="F8" s="37" t="s">
        <v>295</v>
      </c>
      <c r="G8" s="37" t="s">
        <v>398</v>
      </c>
      <c r="H8" s="37" t="s">
        <v>279</v>
      </c>
      <c r="I8" s="12" t="s">
        <v>410</v>
      </c>
      <c r="J8" s="37" t="s">
        <v>400</v>
      </c>
      <c r="K8" s="31" t="n">
        <f aca="false">IF(J8="","",IFERROR(INDEX(Reference_Data!$T$5:$T$14,MATCH(J8,Reference_Data!$S$5:$S$14,0)),0))</f>
        <v>0</v>
      </c>
      <c r="L8" s="38"/>
      <c r="M8" s="38"/>
      <c r="N8" s="38" t="n">
        <v>46128</v>
      </c>
      <c r="O8" s="37" t="s">
        <v>255</v>
      </c>
      <c r="P8" s="37" t="s">
        <v>247</v>
      </c>
      <c r="Q8" s="37" t="s">
        <v>247</v>
      </c>
      <c r="R8" s="38"/>
      <c r="S8" s="37" t="s">
        <v>401</v>
      </c>
      <c r="T8" s="31" t="n">
        <f aca="false">IF(OR(K8="",N8="",S8="Voided / Rescinded"),0,K8)</f>
        <v>0</v>
      </c>
      <c r="U8" s="12"/>
    </row>
    <row r="9" customFormat="false" ht="23.85" hidden="false" customHeight="false" outlineLevel="0" collapsed="false">
      <c r="A9" s="37" t="s">
        <v>411</v>
      </c>
      <c r="B9" s="38" t="n">
        <v>46259</v>
      </c>
      <c r="C9" s="37" t="s">
        <v>272</v>
      </c>
      <c r="D9" s="31" t="str">
        <f aca="false">IF($C9="","",IFERROR(INDEX(Employee_Master!$B$5:$B$104,MATCH($C9,Employee_Master!$A$5:$A$104,0)),"ID not found"))</f>
        <v>Daniel Reyes</v>
      </c>
      <c r="E9" s="31" t="str">
        <f aca="false">IF($C9="","",IFERROR(INDEX(Employee_Master!$C$5:$C$104,MATCH($C9,Employee_Master!$A$5:$A$104,0)),"ID not found"))</f>
        <v>Permitting</v>
      </c>
      <c r="F9" s="37" t="s">
        <v>308</v>
      </c>
      <c r="G9" s="37" t="s">
        <v>412</v>
      </c>
      <c r="H9" s="37" t="s">
        <v>284</v>
      </c>
      <c r="I9" s="12" t="s">
        <v>413</v>
      </c>
      <c r="J9" s="37" t="s">
        <v>404</v>
      </c>
      <c r="K9" s="31" t="n">
        <f aca="false">IF(J9="","",IFERROR(INDEX(Reference_Data!$T$5:$T$14,MATCH(J9,Reference_Data!$S$5:$S$14,0)),0))</f>
        <v>15</v>
      </c>
      <c r="L9" s="38" t="n">
        <v>46260</v>
      </c>
      <c r="M9" s="38" t="n">
        <v>46263</v>
      </c>
      <c r="N9" s="38"/>
      <c r="O9" s="37" t="s">
        <v>255</v>
      </c>
      <c r="P9" s="37" t="s">
        <v>247</v>
      </c>
      <c r="Q9" s="37" t="s">
        <v>289</v>
      </c>
      <c r="R9" s="38" t="n">
        <v>46310</v>
      </c>
      <c r="S9" s="37" t="s">
        <v>414</v>
      </c>
      <c r="T9" s="31" t="n">
        <f aca="false">IF(OR(K9="",N9="",S9="Voided / Rescinded"),0,K9)</f>
        <v>0</v>
      </c>
      <c r="U9" s="12" t="s">
        <v>415</v>
      </c>
    </row>
    <row r="10" customFormat="false" ht="15" hidden="false" customHeight="false" outlineLevel="0" collapsed="false">
      <c r="A10" s="37" t="s">
        <v>416</v>
      </c>
      <c r="B10" s="38" t="n">
        <v>46206</v>
      </c>
      <c r="C10" s="37" t="s">
        <v>359</v>
      </c>
      <c r="D10" s="31" t="str">
        <f aca="false">IF($C10="","",IFERROR(INDEX(Employee_Master!$B$5:$B$104,MATCH($C10,Employee_Master!$A$5:$A$104,0)),"ID not found"))</f>
        <v>Ivy Castillo</v>
      </c>
      <c r="E10" s="31" t="str">
        <f aca="false">IF($C10="","",IFERROR(INDEX(Employee_Master!$C$5:$C$104,MATCH($C10,Employee_Master!$A$5:$A$104,0)),"ID not found"))</f>
        <v>Project Management</v>
      </c>
      <c r="F10" s="37"/>
      <c r="G10" s="37" t="s">
        <v>417</v>
      </c>
      <c r="H10" s="37" t="s">
        <v>279</v>
      </c>
      <c r="I10" s="12" t="s">
        <v>418</v>
      </c>
      <c r="J10" s="37" t="s">
        <v>419</v>
      </c>
      <c r="K10" s="31" t="n">
        <f aca="false">IF(J10="","",IFERROR(INDEX(Reference_Data!$T$5:$T$14,MATCH(J10,Reference_Data!$S$5:$S$14,0)),0))</f>
        <v>5</v>
      </c>
      <c r="L10" s="38"/>
      <c r="M10" s="38"/>
      <c r="N10" s="38" t="n">
        <v>46208</v>
      </c>
      <c r="O10" s="37" t="s">
        <v>340</v>
      </c>
      <c r="P10" s="37" t="s">
        <v>247</v>
      </c>
      <c r="Q10" s="37" t="s">
        <v>247</v>
      </c>
      <c r="R10" s="38"/>
      <c r="S10" s="37" t="s">
        <v>401</v>
      </c>
      <c r="T10" s="31" t="n">
        <f aca="false">IF(OR(K10="",N10="",S10="Voided / Rescinded"),0,K10)</f>
        <v>5</v>
      </c>
      <c r="U10" s="12"/>
    </row>
    <row r="11" customFormat="false" ht="15" hidden="false" customHeight="false" outlineLevel="0" collapsed="false">
      <c r="A11" s="37"/>
      <c r="B11" s="38"/>
      <c r="C11" s="37"/>
      <c r="D11" s="31" t="str">
        <f aca="false">IF($C11="","",IFERROR(INDEX(Employee_Master!$B$5:$B$104,MATCH($C11,Employee_Master!$A$5:$A$104,0)),"ID not found"))</f>
        <v/>
      </c>
      <c r="E11" s="31" t="str">
        <f aca="false">IF($C11="","",IFERROR(INDEX(Employee_Master!$C$5:$C$104,MATCH($C11,Employee_Master!$A$5:$A$104,0)),"ID not found"))</f>
        <v/>
      </c>
      <c r="F11" s="37"/>
      <c r="G11" s="37"/>
      <c r="H11" s="37"/>
      <c r="I11" s="12"/>
      <c r="J11" s="37"/>
      <c r="K11" s="31" t="str">
        <f aca="false">IF(J11="","",IFERROR(INDEX(Reference_Data!$T$5:$T$14,MATCH(J11,Reference_Data!$S$5:$S$14,0)),0))</f>
        <v/>
      </c>
      <c r="L11" s="38"/>
      <c r="M11" s="38"/>
      <c r="N11" s="38"/>
      <c r="O11" s="37"/>
      <c r="P11" s="37"/>
      <c r="Q11" s="37"/>
      <c r="R11" s="38"/>
      <c r="S11" s="37"/>
      <c r="T11" s="31" t="n">
        <f aca="false">IF(OR(K11="",N11="",S11="Voided / Rescinded"),0,K11)</f>
        <v>0</v>
      </c>
      <c r="U11" s="12"/>
    </row>
    <row r="12" customFormat="false" ht="15" hidden="false" customHeight="false" outlineLevel="0" collapsed="false">
      <c r="A12" s="37"/>
      <c r="B12" s="38"/>
      <c r="C12" s="37"/>
      <c r="D12" s="31" t="str">
        <f aca="false">IF($C12="","",IFERROR(INDEX(Employee_Master!$B$5:$B$104,MATCH($C12,Employee_Master!$A$5:$A$104,0)),"ID not found"))</f>
        <v/>
      </c>
      <c r="E12" s="31" t="str">
        <f aca="false">IF($C12="","",IFERROR(INDEX(Employee_Master!$C$5:$C$104,MATCH($C12,Employee_Master!$A$5:$A$104,0)),"ID not found"))</f>
        <v/>
      </c>
      <c r="F12" s="37"/>
      <c r="G12" s="37"/>
      <c r="H12" s="37"/>
      <c r="I12" s="12"/>
      <c r="J12" s="37"/>
      <c r="K12" s="31" t="str">
        <f aca="false">IF(J12="","",IFERROR(INDEX(Reference_Data!$T$5:$T$14,MATCH(J12,Reference_Data!$S$5:$S$14,0)),0))</f>
        <v/>
      </c>
      <c r="L12" s="38"/>
      <c r="M12" s="38"/>
      <c r="N12" s="38"/>
      <c r="O12" s="37"/>
      <c r="P12" s="37"/>
      <c r="Q12" s="37"/>
      <c r="R12" s="38"/>
      <c r="S12" s="37"/>
      <c r="T12" s="31" t="n">
        <f aca="false">IF(OR(K12="",N12="",S12="Voided / Rescinded"),0,K12)</f>
        <v>0</v>
      </c>
      <c r="U12" s="12"/>
    </row>
    <row r="13" customFormat="false" ht="15" hidden="false" customHeight="false" outlineLevel="0" collapsed="false">
      <c r="A13" s="37"/>
      <c r="B13" s="38"/>
      <c r="C13" s="37"/>
      <c r="D13" s="31" t="str">
        <f aca="false">IF($C13="","",IFERROR(INDEX(Employee_Master!$B$5:$B$104,MATCH($C13,Employee_Master!$A$5:$A$104,0)),"ID not found"))</f>
        <v/>
      </c>
      <c r="E13" s="31" t="str">
        <f aca="false">IF($C13="","",IFERROR(INDEX(Employee_Master!$C$5:$C$104,MATCH($C13,Employee_Master!$A$5:$A$104,0)),"ID not found"))</f>
        <v/>
      </c>
      <c r="F13" s="37"/>
      <c r="G13" s="37"/>
      <c r="H13" s="37"/>
      <c r="I13" s="12"/>
      <c r="J13" s="37"/>
      <c r="K13" s="31" t="str">
        <f aca="false">IF(J13="","",IFERROR(INDEX(Reference_Data!$T$5:$T$14,MATCH(J13,Reference_Data!$S$5:$S$14,0)),0))</f>
        <v/>
      </c>
      <c r="L13" s="38"/>
      <c r="M13" s="38"/>
      <c r="N13" s="38"/>
      <c r="O13" s="37"/>
      <c r="P13" s="37"/>
      <c r="Q13" s="37"/>
      <c r="R13" s="38"/>
      <c r="S13" s="37"/>
      <c r="T13" s="31" t="n">
        <f aca="false">IF(OR(K13="",N13="",S13="Voided / Rescinded"),0,K13)</f>
        <v>0</v>
      </c>
      <c r="U13" s="12"/>
    </row>
    <row r="14" customFormat="false" ht="15" hidden="false" customHeight="false" outlineLevel="0" collapsed="false">
      <c r="A14" s="37"/>
      <c r="B14" s="38"/>
      <c r="C14" s="37"/>
      <c r="D14" s="31" t="str">
        <f aca="false">IF($C14="","",IFERROR(INDEX(Employee_Master!$B$5:$B$104,MATCH($C14,Employee_Master!$A$5:$A$104,0)),"ID not found"))</f>
        <v/>
      </c>
      <c r="E14" s="31" t="str">
        <f aca="false">IF($C14="","",IFERROR(INDEX(Employee_Master!$C$5:$C$104,MATCH($C14,Employee_Master!$A$5:$A$104,0)),"ID not found"))</f>
        <v/>
      </c>
      <c r="F14" s="37"/>
      <c r="G14" s="37"/>
      <c r="H14" s="37"/>
      <c r="I14" s="12"/>
      <c r="J14" s="37"/>
      <c r="K14" s="31" t="str">
        <f aca="false">IF(J14="","",IFERROR(INDEX(Reference_Data!$T$5:$T$14,MATCH(J14,Reference_Data!$S$5:$S$14,0)),0))</f>
        <v/>
      </c>
      <c r="L14" s="38"/>
      <c r="M14" s="38"/>
      <c r="N14" s="38"/>
      <c r="O14" s="37"/>
      <c r="P14" s="37"/>
      <c r="Q14" s="37"/>
      <c r="R14" s="38"/>
      <c r="S14" s="37"/>
      <c r="T14" s="31" t="n">
        <f aca="false">IF(OR(K14="",N14="",S14="Voided / Rescinded"),0,K14)</f>
        <v>0</v>
      </c>
      <c r="U14" s="12"/>
    </row>
    <row r="15" customFormat="false" ht="15" hidden="false" customHeight="false" outlineLevel="0" collapsed="false">
      <c r="A15" s="37"/>
      <c r="B15" s="38"/>
      <c r="C15" s="37"/>
      <c r="D15" s="31" t="str">
        <f aca="false">IF($C15="","",IFERROR(INDEX(Employee_Master!$B$5:$B$104,MATCH($C15,Employee_Master!$A$5:$A$104,0)),"ID not found"))</f>
        <v/>
      </c>
      <c r="E15" s="31" t="str">
        <f aca="false">IF($C15="","",IFERROR(INDEX(Employee_Master!$C$5:$C$104,MATCH($C15,Employee_Master!$A$5:$A$104,0)),"ID not found"))</f>
        <v/>
      </c>
      <c r="F15" s="37"/>
      <c r="G15" s="37"/>
      <c r="H15" s="37"/>
      <c r="I15" s="12"/>
      <c r="J15" s="37"/>
      <c r="K15" s="31" t="str">
        <f aca="false">IF(J15="","",IFERROR(INDEX(Reference_Data!$T$5:$T$14,MATCH(J15,Reference_Data!$S$5:$S$14,0)),0))</f>
        <v/>
      </c>
      <c r="L15" s="38"/>
      <c r="M15" s="38"/>
      <c r="N15" s="38"/>
      <c r="O15" s="37"/>
      <c r="P15" s="37"/>
      <c r="Q15" s="37"/>
      <c r="R15" s="38"/>
      <c r="S15" s="37"/>
      <c r="T15" s="31" t="n">
        <f aca="false">IF(OR(K15="",N15="",S15="Voided / Rescinded"),0,K15)</f>
        <v>0</v>
      </c>
      <c r="U15" s="12"/>
    </row>
    <row r="16" customFormat="false" ht="15" hidden="false" customHeight="false" outlineLevel="0" collapsed="false">
      <c r="A16" s="37"/>
      <c r="B16" s="38"/>
      <c r="C16" s="37"/>
      <c r="D16" s="31" t="str">
        <f aca="false">IF($C16="","",IFERROR(INDEX(Employee_Master!$B$5:$B$104,MATCH($C16,Employee_Master!$A$5:$A$104,0)),"ID not found"))</f>
        <v/>
      </c>
      <c r="E16" s="31" t="str">
        <f aca="false">IF($C16="","",IFERROR(INDEX(Employee_Master!$C$5:$C$104,MATCH($C16,Employee_Master!$A$5:$A$104,0)),"ID not found"))</f>
        <v/>
      </c>
      <c r="F16" s="37"/>
      <c r="G16" s="37"/>
      <c r="H16" s="37"/>
      <c r="I16" s="12"/>
      <c r="J16" s="37"/>
      <c r="K16" s="31" t="str">
        <f aca="false">IF(J16="","",IFERROR(INDEX(Reference_Data!$T$5:$T$14,MATCH(J16,Reference_Data!$S$5:$S$14,0)),0))</f>
        <v/>
      </c>
      <c r="L16" s="38"/>
      <c r="M16" s="38"/>
      <c r="N16" s="38"/>
      <c r="O16" s="37"/>
      <c r="P16" s="37"/>
      <c r="Q16" s="37"/>
      <c r="R16" s="38"/>
      <c r="S16" s="37"/>
      <c r="T16" s="31" t="n">
        <f aca="false">IF(OR(K16="",N16="",S16="Voided / Rescinded"),0,K16)</f>
        <v>0</v>
      </c>
      <c r="U16" s="12"/>
    </row>
    <row r="17" customFormat="false" ht="15" hidden="false" customHeight="false" outlineLevel="0" collapsed="false">
      <c r="A17" s="37"/>
      <c r="B17" s="38"/>
      <c r="C17" s="37"/>
      <c r="D17" s="31" t="str">
        <f aca="false">IF($C17="","",IFERROR(INDEX(Employee_Master!$B$5:$B$104,MATCH($C17,Employee_Master!$A$5:$A$104,0)),"ID not found"))</f>
        <v/>
      </c>
      <c r="E17" s="31" t="str">
        <f aca="false">IF($C17="","",IFERROR(INDEX(Employee_Master!$C$5:$C$104,MATCH($C17,Employee_Master!$A$5:$A$104,0)),"ID not found"))</f>
        <v/>
      </c>
      <c r="F17" s="37"/>
      <c r="G17" s="37"/>
      <c r="H17" s="37"/>
      <c r="I17" s="12"/>
      <c r="J17" s="37"/>
      <c r="K17" s="31" t="str">
        <f aca="false">IF(J17="","",IFERROR(INDEX(Reference_Data!$T$5:$T$14,MATCH(J17,Reference_Data!$S$5:$S$14,0)),0))</f>
        <v/>
      </c>
      <c r="L17" s="38"/>
      <c r="M17" s="38"/>
      <c r="N17" s="38"/>
      <c r="O17" s="37"/>
      <c r="P17" s="37"/>
      <c r="Q17" s="37"/>
      <c r="R17" s="38"/>
      <c r="S17" s="37"/>
      <c r="T17" s="31" t="n">
        <f aca="false">IF(OR(K17="",N17="",S17="Voided / Rescinded"),0,K17)</f>
        <v>0</v>
      </c>
      <c r="U17" s="12"/>
    </row>
    <row r="18" customFormat="false" ht="15" hidden="false" customHeight="false" outlineLevel="0" collapsed="false">
      <c r="A18" s="37"/>
      <c r="B18" s="38"/>
      <c r="C18" s="37"/>
      <c r="D18" s="31" t="str">
        <f aca="false">IF($C18="","",IFERROR(INDEX(Employee_Master!$B$5:$B$104,MATCH($C18,Employee_Master!$A$5:$A$104,0)),"ID not found"))</f>
        <v/>
      </c>
      <c r="E18" s="31" t="str">
        <f aca="false">IF($C18="","",IFERROR(INDEX(Employee_Master!$C$5:$C$104,MATCH($C18,Employee_Master!$A$5:$A$104,0)),"ID not found"))</f>
        <v/>
      </c>
      <c r="F18" s="37"/>
      <c r="G18" s="37"/>
      <c r="H18" s="37"/>
      <c r="I18" s="12"/>
      <c r="J18" s="37"/>
      <c r="K18" s="31" t="str">
        <f aca="false">IF(J18="","",IFERROR(INDEX(Reference_Data!$T$5:$T$14,MATCH(J18,Reference_Data!$S$5:$S$14,0)),0))</f>
        <v/>
      </c>
      <c r="L18" s="38"/>
      <c r="M18" s="38"/>
      <c r="N18" s="38"/>
      <c r="O18" s="37"/>
      <c r="P18" s="37"/>
      <c r="Q18" s="37"/>
      <c r="R18" s="38"/>
      <c r="S18" s="37"/>
      <c r="T18" s="31" t="n">
        <f aca="false">IF(OR(K18="",N18="",S18="Voided / Rescinded"),0,K18)</f>
        <v>0</v>
      </c>
      <c r="U18" s="12"/>
    </row>
    <row r="19" customFormat="false" ht="15" hidden="false" customHeight="false" outlineLevel="0" collapsed="false">
      <c r="A19" s="37"/>
      <c r="B19" s="38"/>
      <c r="C19" s="37"/>
      <c r="D19" s="31" t="str">
        <f aca="false">IF($C19="","",IFERROR(INDEX(Employee_Master!$B$5:$B$104,MATCH($C19,Employee_Master!$A$5:$A$104,0)),"ID not found"))</f>
        <v/>
      </c>
      <c r="E19" s="31" t="str">
        <f aca="false">IF($C19="","",IFERROR(INDEX(Employee_Master!$C$5:$C$104,MATCH($C19,Employee_Master!$A$5:$A$104,0)),"ID not found"))</f>
        <v/>
      </c>
      <c r="F19" s="37"/>
      <c r="G19" s="37"/>
      <c r="H19" s="37"/>
      <c r="I19" s="12"/>
      <c r="J19" s="37"/>
      <c r="K19" s="31" t="str">
        <f aca="false">IF(J19="","",IFERROR(INDEX(Reference_Data!$T$5:$T$14,MATCH(J19,Reference_Data!$S$5:$S$14,0)),0))</f>
        <v/>
      </c>
      <c r="L19" s="38"/>
      <c r="M19" s="38"/>
      <c r="N19" s="38"/>
      <c r="O19" s="37"/>
      <c r="P19" s="37"/>
      <c r="Q19" s="37"/>
      <c r="R19" s="38"/>
      <c r="S19" s="37"/>
      <c r="T19" s="31" t="n">
        <f aca="false">IF(OR(K19="",N19="",S19="Voided / Rescinded"),0,K19)</f>
        <v>0</v>
      </c>
      <c r="U19" s="12"/>
    </row>
    <row r="20" customFormat="false" ht="15" hidden="false" customHeight="false" outlineLevel="0" collapsed="false">
      <c r="A20" s="37"/>
      <c r="B20" s="38"/>
      <c r="C20" s="37"/>
      <c r="D20" s="31" t="str">
        <f aca="false">IF($C20="","",IFERROR(INDEX(Employee_Master!$B$5:$B$104,MATCH($C20,Employee_Master!$A$5:$A$104,0)),"ID not found"))</f>
        <v/>
      </c>
      <c r="E20" s="31" t="str">
        <f aca="false">IF($C20="","",IFERROR(INDEX(Employee_Master!$C$5:$C$104,MATCH($C20,Employee_Master!$A$5:$A$104,0)),"ID not found"))</f>
        <v/>
      </c>
      <c r="F20" s="37"/>
      <c r="G20" s="37"/>
      <c r="H20" s="37"/>
      <c r="I20" s="12"/>
      <c r="J20" s="37"/>
      <c r="K20" s="31" t="str">
        <f aca="false">IF(J20="","",IFERROR(INDEX(Reference_Data!$T$5:$T$14,MATCH(J20,Reference_Data!$S$5:$S$14,0)),0))</f>
        <v/>
      </c>
      <c r="L20" s="38"/>
      <c r="M20" s="38"/>
      <c r="N20" s="38"/>
      <c r="O20" s="37"/>
      <c r="P20" s="37"/>
      <c r="Q20" s="37"/>
      <c r="R20" s="38"/>
      <c r="S20" s="37"/>
      <c r="T20" s="31" t="n">
        <f aca="false">IF(OR(K20="",N20="",S20="Voided / Rescinded"),0,K20)</f>
        <v>0</v>
      </c>
      <c r="U20" s="12"/>
    </row>
    <row r="21" customFormat="false" ht="15" hidden="false" customHeight="false" outlineLevel="0" collapsed="false">
      <c r="A21" s="37"/>
      <c r="B21" s="38"/>
      <c r="C21" s="37"/>
      <c r="D21" s="31" t="str">
        <f aca="false">IF($C21="","",IFERROR(INDEX(Employee_Master!$B$5:$B$104,MATCH($C21,Employee_Master!$A$5:$A$104,0)),"ID not found"))</f>
        <v/>
      </c>
      <c r="E21" s="31" t="str">
        <f aca="false">IF($C21="","",IFERROR(INDEX(Employee_Master!$C$5:$C$104,MATCH($C21,Employee_Master!$A$5:$A$104,0)),"ID not found"))</f>
        <v/>
      </c>
      <c r="F21" s="37"/>
      <c r="G21" s="37"/>
      <c r="H21" s="37"/>
      <c r="I21" s="12"/>
      <c r="J21" s="37"/>
      <c r="K21" s="31" t="str">
        <f aca="false">IF(J21="","",IFERROR(INDEX(Reference_Data!$T$5:$T$14,MATCH(J21,Reference_Data!$S$5:$S$14,0)),0))</f>
        <v/>
      </c>
      <c r="L21" s="38"/>
      <c r="M21" s="38"/>
      <c r="N21" s="38"/>
      <c r="O21" s="37"/>
      <c r="P21" s="37"/>
      <c r="Q21" s="37"/>
      <c r="R21" s="38"/>
      <c r="S21" s="37"/>
      <c r="T21" s="31" t="n">
        <f aca="false">IF(OR(K21="",N21="",S21="Voided / Rescinded"),0,K21)</f>
        <v>0</v>
      </c>
      <c r="U21" s="12"/>
    </row>
    <row r="22" customFormat="false" ht="15" hidden="false" customHeight="false" outlineLevel="0" collapsed="false">
      <c r="A22" s="37"/>
      <c r="B22" s="38"/>
      <c r="C22" s="37"/>
      <c r="D22" s="31" t="str">
        <f aca="false">IF($C22="","",IFERROR(INDEX(Employee_Master!$B$5:$B$104,MATCH($C22,Employee_Master!$A$5:$A$104,0)),"ID not found"))</f>
        <v/>
      </c>
      <c r="E22" s="31" t="str">
        <f aca="false">IF($C22="","",IFERROR(INDEX(Employee_Master!$C$5:$C$104,MATCH($C22,Employee_Master!$A$5:$A$104,0)),"ID not found"))</f>
        <v/>
      </c>
      <c r="F22" s="37"/>
      <c r="G22" s="37"/>
      <c r="H22" s="37"/>
      <c r="I22" s="12"/>
      <c r="J22" s="37"/>
      <c r="K22" s="31" t="str">
        <f aca="false">IF(J22="","",IFERROR(INDEX(Reference_Data!$T$5:$T$14,MATCH(J22,Reference_Data!$S$5:$S$14,0)),0))</f>
        <v/>
      </c>
      <c r="L22" s="38"/>
      <c r="M22" s="38"/>
      <c r="N22" s="38"/>
      <c r="O22" s="37"/>
      <c r="P22" s="37"/>
      <c r="Q22" s="37"/>
      <c r="R22" s="38"/>
      <c r="S22" s="37"/>
      <c r="T22" s="31" t="n">
        <f aca="false">IF(OR(K22="",N22="",S22="Voided / Rescinded"),0,K22)</f>
        <v>0</v>
      </c>
      <c r="U22" s="12"/>
    </row>
    <row r="23" customFormat="false" ht="15" hidden="false" customHeight="false" outlineLevel="0" collapsed="false">
      <c r="A23" s="37"/>
      <c r="B23" s="38"/>
      <c r="C23" s="37"/>
      <c r="D23" s="31" t="str">
        <f aca="false">IF($C23="","",IFERROR(INDEX(Employee_Master!$B$5:$B$104,MATCH($C23,Employee_Master!$A$5:$A$104,0)),"ID not found"))</f>
        <v/>
      </c>
      <c r="E23" s="31" t="str">
        <f aca="false">IF($C23="","",IFERROR(INDEX(Employee_Master!$C$5:$C$104,MATCH($C23,Employee_Master!$A$5:$A$104,0)),"ID not found"))</f>
        <v/>
      </c>
      <c r="F23" s="37"/>
      <c r="G23" s="37"/>
      <c r="H23" s="37"/>
      <c r="I23" s="12"/>
      <c r="J23" s="37"/>
      <c r="K23" s="31" t="str">
        <f aca="false">IF(J23="","",IFERROR(INDEX(Reference_Data!$T$5:$T$14,MATCH(J23,Reference_Data!$S$5:$S$14,0)),0))</f>
        <v/>
      </c>
      <c r="L23" s="38"/>
      <c r="M23" s="38"/>
      <c r="N23" s="38"/>
      <c r="O23" s="37"/>
      <c r="P23" s="37"/>
      <c r="Q23" s="37"/>
      <c r="R23" s="38"/>
      <c r="S23" s="37"/>
      <c r="T23" s="31" t="n">
        <f aca="false">IF(OR(K23="",N23="",S23="Voided / Rescinded"),0,K23)</f>
        <v>0</v>
      </c>
      <c r="U23" s="12"/>
    </row>
    <row r="24" customFormat="false" ht="15" hidden="false" customHeight="false" outlineLevel="0" collapsed="false">
      <c r="A24" s="37"/>
      <c r="B24" s="38"/>
      <c r="C24" s="37"/>
      <c r="D24" s="31" t="str">
        <f aca="false">IF($C24="","",IFERROR(INDEX(Employee_Master!$B$5:$B$104,MATCH($C24,Employee_Master!$A$5:$A$104,0)),"ID not found"))</f>
        <v/>
      </c>
      <c r="E24" s="31" t="str">
        <f aca="false">IF($C24="","",IFERROR(INDEX(Employee_Master!$C$5:$C$104,MATCH($C24,Employee_Master!$A$5:$A$104,0)),"ID not found"))</f>
        <v/>
      </c>
      <c r="F24" s="37"/>
      <c r="G24" s="37"/>
      <c r="H24" s="37"/>
      <c r="I24" s="12"/>
      <c r="J24" s="37"/>
      <c r="K24" s="31" t="str">
        <f aca="false">IF(J24="","",IFERROR(INDEX(Reference_Data!$T$5:$T$14,MATCH(J24,Reference_Data!$S$5:$S$14,0)),0))</f>
        <v/>
      </c>
      <c r="L24" s="38"/>
      <c r="M24" s="38"/>
      <c r="N24" s="38"/>
      <c r="O24" s="37"/>
      <c r="P24" s="37"/>
      <c r="Q24" s="37"/>
      <c r="R24" s="38"/>
      <c r="S24" s="37"/>
      <c r="T24" s="31" t="n">
        <f aca="false">IF(OR(K24="",N24="",S24="Voided / Rescinded"),0,K24)</f>
        <v>0</v>
      </c>
      <c r="U24" s="12"/>
    </row>
    <row r="25" customFormat="false" ht="15" hidden="false" customHeight="false" outlineLevel="0" collapsed="false">
      <c r="A25" s="37"/>
      <c r="B25" s="38"/>
      <c r="C25" s="37"/>
      <c r="D25" s="31" t="str">
        <f aca="false">IF($C25="","",IFERROR(INDEX(Employee_Master!$B$5:$B$104,MATCH($C25,Employee_Master!$A$5:$A$104,0)),"ID not found"))</f>
        <v/>
      </c>
      <c r="E25" s="31" t="str">
        <f aca="false">IF($C25="","",IFERROR(INDEX(Employee_Master!$C$5:$C$104,MATCH($C25,Employee_Master!$A$5:$A$104,0)),"ID not found"))</f>
        <v/>
      </c>
      <c r="F25" s="37"/>
      <c r="G25" s="37"/>
      <c r="H25" s="37"/>
      <c r="I25" s="12"/>
      <c r="J25" s="37"/>
      <c r="K25" s="31" t="str">
        <f aca="false">IF(J25="","",IFERROR(INDEX(Reference_Data!$T$5:$T$14,MATCH(J25,Reference_Data!$S$5:$S$14,0)),0))</f>
        <v/>
      </c>
      <c r="L25" s="38"/>
      <c r="M25" s="38"/>
      <c r="N25" s="38"/>
      <c r="O25" s="37"/>
      <c r="P25" s="37"/>
      <c r="Q25" s="37"/>
      <c r="R25" s="38"/>
      <c r="S25" s="37"/>
      <c r="T25" s="31" t="n">
        <f aca="false">IF(OR(K25="",N25="",S25="Voided / Rescinded"),0,K25)</f>
        <v>0</v>
      </c>
      <c r="U25" s="12"/>
    </row>
    <row r="26" customFormat="false" ht="15" hidden="false" customHeight="false" outlineLevel="0" collapsed="false">
      <c r="A26" s="37"/>
      <c r="B26" s="38"/>
      <c r="C26" s="37"/>
      <c r="D26" s="31" t="str">
        <f aca="false">IF($C26="","",IFERROR(INDEX(Employee_Master!$B$5:$B$104,MATCH($C26,Employee_Master!$A$5:$A$104,0)),"ID not found"))</f>
        <v/>
      </c>
      <c r="E26" s="31" t="str">
        <f aca="false">IF($C26="","",IFERROR(INDEX(Employee_Master!$C$5:$C$104,MATCH($C26,Employee_Master!$A$5:$A$104,0)),"ID not found"))</f>
        <v/>
      </c>
      <c r="F26" s="37"/>
      <c r="G26" s="37"/>
      <c r="H26" s="37"/>
      <c r="I26" s="12"/>
      <c r="J26" s="37"/>
      <c r="K26" s="31" t="str">
        <f aca="false">IF(J26="","",IFERROR(INDEX(Reference_Data!$T$5:$T$14,MATCH(J26,Reference_Data!$S$5:$S$14,0)),0))</f>
        <v/>
      </c>
      <c r="L26" s="38"/>
      <c r="M26" s="38"/>
      <c r="N26" s="38"/>
      <c r="O26" s="37"/>
      <c r="P26" s="37"/>
      <c r="Q26" s="37"/>
      <c r="R26" s="38"/>
      <c r="S26" s="37"/>
      <c r="T26" s="31" t="n">
        <f aca="false">IF(OR(K26="",N26="",S26="Voided / Rescinded"),0,K26)</f>
        <v>0</v>
      </c>
      <c r="U26" s="12"/>
    </row>
    <row r="27" customFormat="false" ht="15" hidden="false" customHeight="false" outlineLevel="0" collapsed="false">
      <c r="A27" s="37"/>
      <c r="B27" s="38"/>
      <c r="C27" s="37"/>
      <c r="D27" s="31" t="str">
        <f aca="false">IF($C27="","",IFERROR(INDEX(Employee_Master!$B$5:$B$104,MATCH($C27,Employee_Master!$A$5:$A$104,0)),"ID not found"))</f>
        <v/>
      </c>
      <c r="E27" s="31" t="str">
        <f aca="false">IF($C27="","",IFERROR(INDEX(Employee_Master!$C$5:$C$104,MATCH($C27,Employee_Master!$A$5:$A$104,0)),"ID not found"))</f>
        <v/>
      </c>
      <c r="F27" s="37"/>
      <c r="G27" s="37"/>
      <c r="H27" s="37"/>
      <c r="I27" s="12"/>
      <c r="J27" s="37"/>
      <c r="K27" s="31" t="str">
        <f aca="false">IF(J27="","",IFERROR(INDEX(Reference_Data!$T$5:$T$14,MATCH(J27,Reference_Data!$S$5:$S$14,0)),0))</f>
        <v/>
      </c>
      <c r="L27" s="38"/>
      <c r="M27" s="38"/>
      <c r="N27" s="38"/>
      <c r="O27" s="37"/>
      <c r="P27" s="37"/>
      <c r="Q27" s="37"/>
      <c r="R27" s="38"/>
      <c r="S27" s="37"/>
      <c r="T27" s="31" t="n">
        <f aca="false">IF(OR(K27="",N27="",S27="Voided / Rescinded"),0,K27)</f>
        <v>0</v>
      </c>
      <c r="U27" s="12"/>
    </row>
    <row r="28" customFormat="false" ht="15" hidden="false" customHeight="false" outlineLevel="0" collapsed="false">
      <c r="A28" s="37"/>
      <c r="B28" s="38"/>
      <c r="C28" s="37"/>
      <c r="D28" s="31" t="str">
        <f aca="false">IF($C28="","",IFERROR(INDEX(Employee_Master!$B$5:$B$104,MATCH($C28,Employee_Master!$A$5:$A$104,0)),"ID not found"))</f>
        <v/>
      </c>
      <c r="E28" s="31" t="str">
        <f aca="false">IF($C28="","",IFERROR(INDEX(Employee_Master!$C$5:$C$104,MATCH($C28,Employee_Master!$A$5:$A$104,0)),"ID not found"))</f>
        <v/>
      </c>
      <c r="F28" s="37"/>
      <c r="G28" s="37"/>
      <c r="H28" s="37"/>
      <c r="I28" s="12"/>
      <c r="J28" s="37"/>
      <c r="K28" s="31" t="str">
        <f aca="false">IF(J28="","",IFERROR(INDEX(Reference_Data!$T$5:$T$14,MATCH(J28,Reference_Data!$S$5:$S$14,0)),0))</f>
        <v/>
      </c>
      <c r="L28" s="38"/>
      <c r="M28" s="38"/>
      <c r="N28" s="38"/>
      <c r="O28" s="37"/>
      <c r="P28" s="37"/>
      <c r="Q28" s="37"/>
      <c r="R28" s="38"/>
      <c r="S28" s="37"/>
      <c r="T28" s="31" t="n">
        <f aca="false">IF(OR(K28="",N28="",S28="Voided / Rescinded"),0,K28)</f>
        <v>0</v>
      </c>
      <c r="U28" s="12"/>
    </row>
    <row r="29" customFormat="false" ht="15" hidden="false" customHeight="false" outlineLevel="0" collapsed="false">
      <c r="A29" s="37"/>
      <c r="B29" s="38"/>
      <c r="C29" s="37"/>
      <c r="D29" s="31" t="str">
        <f aca="false">IF($C29="","",IFERROR(INDEX(Employee_Master!$B$5:$B$104,MATCH($C29,Employee_Master!$A$5:$A$104,0)),"ID not found"))</f>
        <v/>
      </c>
      <c r="E29" s="31" t="str">
        <f aca="false">IF($C29="","",IFERROR(INDEX(Employee_Master!$C$5:$C$104,MATCH($C29,Employee_Master!$A$5:$A$104,0)),"ID not found"))</f>
        <v/>
      </c>
      <c r="F29" s="37"/>
      <c r="G29" s="37"/>
      <c r="H29" s="37"/>
      <c r="I29" s="12"/>
      <c r="J29" s="37"/>
      <c r="K29" s="31" t="str">
        <f aca="false">IF(J29="","",IFERROR(INDEX(Reference_Data!$T$5:$T$14,MATCH(J29,Reference_Data!$S$5:$S$14,0)),0))</f>
        <v/>
      </c>
      <c r="L29" s="38"/>
      <c r="M29" s="38"/>
      <c r="N29" s="38"/>
      <c r="O29" s="37"/>
      <c r="P29" s="37"/>
      <c r="Q29" s="37"/>
      <c r="R29" s="38"/>
      <c r="S29" s="37"/>
      <c r="T29" s="31" t="n">
        <f aca="false">IF(OR(K29="",N29="",S29="Voided / Rescinded"),0,K29)</f>
        <v>0</v>
      </c>
      <c r="U29" s="12"/>
    </row>
    <row r="30" customFormat="false" ht="15" hidden="false" customHeight="false" outlineLevel="0" collapsed="false">
      <c r="A30" s="37"/>
      <c r="B30" s="38"/>
      <c r="C30" s="37"/>
      <c r="D30" s="31" t="str">
        <f aca="false">IF($C30="","",IFERROR(INDEX(Employee_Master!$B$5:$B$104,MATCH($C30,Employee_Master!$A$5:$A$104,0)),"ID not found"))</f>
        <v/>
      </c>
      <c r="E30" s="31" t="str">
        <f aca="false">IF($C30="","",IFERROR(INDEX(Employee_Master!$C$5:$C$104,MATCH($C30,Employee_Master!$A$5:$A$104,0)),"ID not found"))</f>
        <v/>
      </c>
      <c r="F30" s="37"/>
      <c r="G30" s="37"/>
      <c r="H30" s="37"/>
      <c r="I30" s="12"/>
      <c r="J30" s="37"/>
      <c r="K30" s="31" t="str">
        <f aca="false">IF(J30="","",IFERROR(INDEX(Reference_Data!$T$5:$T$14,MATCH(J30,Reference_Data!$S$5:$S$14,0)),0))</f>
        <v/>
      </c>
      <c r="L30" s="38"/>
      <c r="M30" s="38"/>
      <c r="N30" s="38"/>
      <c r="O30" s="37"/>
      <c r="P30" s="37"/>
      <c r="Q30" s="37"/>
      <c r="R30" s="38"/>
      <c r="S30" s="37"/>
      <c r="T30" s="31" t="n">
        <f aca="false">IF(OR(K30="",N30="",S30="Voided / Rescinded"),0,K30)</f>
        <v>0</v>
      </c>
      <c r="U30" s="12"/>
    </row>
    <row r="31" customFormat="false" ht="15" hidden="false" customHeight="false" outlineLevel="0" collapsed="false">
      <c r="A31" s="37"/>
      <c r="B31" s="38"/>
      <c r="C31" s="37"/>
      <c r="D31" s="31" t="str">
        <f aca="false">IF($C31="","",IFERROR(INDEX(Employee_Master!$B$5:$B$104,MATCH($C31,Employee_Master!$A$5:$A$104,0)),"ID not found"))</f>
        <v/>
      </c>
      <c r="E31" s="31" t="str">
        <f aca="false">IF($C31="","",IFERROR(INDEX(Employee_Master!$C$5:$C$104,MATCH($C31,Employee_Master!$A$5:$A$104,0)),"ID not found"))</f>
        <v/>
      </c>
      <c r="F31" s="37"/>
      <c r="G31" s="37"/>
      <c r="H31" s="37"/>
      <c r="I31" s="12"/>
      <c r="J31" s="37"/>
      <c r="K31" s="31" t="str">
        <f aca="false">IF(J31="","",IFERROR(INDEX(Reference_Data!$T$5:$T$14,MATCH(J31,Reference_Data!$S$5:$S$14,0)),0))</f>
        <v/>
      </c>
      <c r="L31" s="38"/>
      <c r="M31" s="38"/>
      <c r="N31" s="38"/>
      <c r="O31" s="37"/>
      <c r="P31" s="37"/>
      <c r="Q31" s="37"/>
      <c r="R31" s="38"/>
      <c r="S31" s="37"/>
      <c r="T31" s="31" t="n">
        <f aca="false">IF(OR(K31="",N31="",S31="Voided / Rescinded"),0,K31)</f>
        <v>0</v>
      </c>
      <c r="U31" s="12"/>
    </row>
    <row r="32" customFormat="false" ht="15" hidden="false" customHeight="false" outlineLevel="0" collapsed="false">
      <c r="A32" s="37"/>
      <c r="B32" s="38"/>
      <c r="C32" s="37"/>
      <c r="D32" s="31" t="str">
        <f aca="false">IF($C32="","",IFERROR(INDEX(Employee_Master!$B$5:$B$104,MATCH($C32,Employee_Master!$A$5:$A$104,0)),"ID not found"))</f>
        <v/>
      </c>
      <c r="E32" s="31" t="str">
        <f aca="false">IF($C32="","",IFERROR(INDEX(Employee_Master!$C$5:$C$104,MATCH($C32,Employee_Master!$A$5:$A$104,0)),"ID not found"))</f>
        <v/>
      </c>
      <c r="F32" s="37"/>
      <c r="G32" s="37"/>
      <c r="H32" s="37"/>
      <c r="I32" s="12"/>
      <c r="J32" s="37"/>
      <c r="K32" s="31" t="str">
        <f aca="false">IF(J32="","",IFERROR(INDEX(Reference_Data!$T$5:$T$14,MATCH(J32,Reference_Data!$S$5:$S$14,0)),0))</f>
        <v/>
      </c>
      <c r="L32" s="38"/>
      <c r="M32" s="38"/>
      <c r="N32" s="38"/>
      <c r="O32" s="37"/>
      <c r="P32" s="37"/>
      <c r="Q32" s="37"/>
      <c r="R32" s="38"/>
      <c r="S32" s="37"/>
      <c r="T32" s="31" t="n">
        <f aca="false">IF(OR(K32="",N32="",S32="Voided / Rescinded"),0,K32)</f>
        <v>0</v>
      </c>
      <c r="U32" s="12"/>
    </row>
    <row r="33" customFormat="false" ht="15" hidden="false" customHeight="false" outlineLevel="0" collapsed="false">
      <c r="A33" s="37"/>
      <c r="B33" s="38"/>
      <c r="C33" s="37"/>
      <c r="D33" s="31" t="str">
        <f aca="false">IF($C33="","",IFERROR(INDEX(Employee_Master!$B$5:$B$104,MATCH($C33,Employee_Master!$A$5:$A$104,0)),"ID not found"))</f>
        <v/>
      </c>
      <c r="E33" s="31" t="str">
        <f aca="false">IF($C33="","",IFERROR(INDEX(Employee_Master!$C$5:$C$104,MATCH($C33,Employee_Master!$A$5:$A$104,0)),"ID not found"))</f>
        <v/>
      </c>
      <c r="F33" s="37"/>
      <c r="G33" s="37"/>
      <c r="H33" s="37"/>
      <c r="I33" s="12"/>
      <c r="J33" s="37"/>
      <c r="K33" s="31" t="str">
        <f aca="false">IF(J33="","",IFERROR(INDEX(Reference_Data!$T$5:$T$14,MATCH(J33,Reference_Data!$S$5:$S$14,0)),0))</f>
        <v/>
      </c>
      <c r="L33" s="38"/>
      <c r="M33" s="38"/>
      <c r="N33" s="38"/>
      <c r="O33" s="37"/>
      <c r="P33" s="37"/>
      <c r="Q33" s="37"/>
      <c r="R33" s="38"/>
      <c r="S33" s="37"/>
      <c r="T33" s="31" t="n">
        <f aca="false">IF(OR(K33="",N33="",S33="Voided / Rescinded"),0,K33)</f>
        <v>0</v>
      </c>
      <c r="U33" s="12"/>
    </row>
    <row r="34" customFormat="false" ht="15" hidden="false" customHeight="false" outlineLevel="0" collapsed="false">
      <c r="A34" s="37"/>
      <c r="B34" s="38"/>
      <c r="C34" s="37"/>
      <c r="D34" s="31" t="str">
        <f aca="false">IF($C34="","",IFERROR(INDEX(Employee_Master!$B$5:$B$104,MATCH($C34,Employee_Master!$A$5:$A$104,0)),"ID not found"))</f>
        <v/>
      </c>
      <c r="E34" s="31" t="str">
        <f aca="false">IF($C34="","",IFERROR(INDEX(Employee_Master!$C$5:$C$104,MATCH($C34,Employee_Master!$A$5:$A$104,0)),"ID not found"))</f>
        <v/>
      </c>
      <c r="F34" s="37"/>
      <c r="G34" s="37"/>
      <c r="H34" s="37"/>
      <c r="I34" s="12"/>
      <c r="J34" s="37"/>
      <c r="K34" s="31" t="str">
        <f aca="false">IF(J34="","",IFERROR(INDEX(Reference_Data!$T$5:$T$14,MATCH(J34,Reference_Data!$S$5:$S$14,0)),0))</f>
        <v/>
      </c>
      <c r="L34" s="38"/>
      <c r="M34" s="38"/>
      <c r="N34" s="38"/>
      <c r="O34" s="37"/>
      <c r="P34" s="37"/>
      <c r="Q34" s="37"/>
      <c r="R34" s="38"/>
      <c r="S34" s="37"/>
      <c r="T34" s="31" t="n">
        <f aca="false">IF(OR(K34="",N34="",S34="Voided / Rescinded"),0,K34)</f>
        <v>0</v>
      </c>
      <c r="U34" s="12"/>
    </row>
    <row r="35" customFormat="false" ht="15" hidden="false" customHeight="false" outlineLevel="0" collapsed="false">
      <c r="A35" s="37"/>
      <c r="B35" s="38"/>
      <c r="C35" s="37"/>
      <c r="D35" s="31" t="str">
        <f aca="false">IF($C35="","",IFERROR(INDEX(Employee_Master!$B$5:$B$104,MATCH($C35,Employee_Master!$A$5:$A$104,0)),"ID not found"))</f>
        <v/>
      </c>
      <c r="E35" s="31" t="str">
        <f aca="false">IF($C35="","",IFERROR(INDEX(Employee_Master!$C$5:$C$104,MATCH($C35,Employee_Master!$A$5:$A$104,0)),"ID not found"))</f>
        <v/>
      </c>
      <c r="F35" s="37"/>
      <c r="G35" s="37"/>
      <c r="H35" s="37"/>
      <c r="I35" s="12"/>
      <c r="J35" s="37"/>
      <c r="K35" s="31" t="str">
        <f aca="false">IF(J35="","",IFERROR(INDEX(Reference_Data!$T$5:$T$14,MATCH(J35,Reference_Data!$S$5:$S$14,0)),0))</f>
        <v/>
      </c>
      <c r="L35" s="38"/>
      <c r="M35" s="38"/>
      <c r="N35" s="38"/>
      <c r="O35" s="37"/>
      <c r="P35" s="37"/>
      <c r="Q35" s="37"/>
      <c r="R35" s="38"/>
      <c r="S35" s="37"/>
      <c r="T35" s="31" t="n">
        <f aca="false">IF(OR(K35="",N35="",S35="Voided / Rescinded"),0,K35)</f>
        <v>0</v>
      </c>
      <c r="U35" s="12"/>
    </row>
    <row r="36" customFormat="false" ht="15" hidden="false" customHeight="false" outlineLevel="0" collapsed="false">
      <c r="A36" s="37"/>
      <c r="B36" s="38"/>
      <c r="C36" s="37"/>
      <c r="D36" s="31" t="str">
        <f aca="false">IF($C36="","",IFERROR(INDEX(Employee_Master!$B$5:$B$104,MATCH($C36,Employee_Master!$A$5:$A$104,0)),"ID not found"))</f>
        <v/>
      </c>
      <c r="E36" s="31" t="str">
        <f aca="false">IF($C36="","",IFERROR(INDEX(Employee_Master!$C$5:$C$104,MATCH($C36,Employee_Master!$A$5:$A$104,0)),"ID not found"))</f>
        <v/>
      </c>
      <c r="F36" s="37"/>
      <c r="G36" s="37"/>
      <c r="H36" s="37"/>
      <c r="I36" s="12"/>
      <c r="J36" s="37"/>
      <c r="K36" s="31" t="str">
        <f aca="false">IF(J36="","",IFERROR(INDEX(Reference_Data!$T$5:$T$14,MATCH(J36,Reference_Data!$S$5:$S$14,0)),0))</f>
        <v/>
      </c>
      <c r="L36" s="38"/>
      <c r="M36" s="38"/>
      <c r="N36" s="38"/>
      <c r="O36" s="37"/>
      <c r="P36" s="37"/>
      <c r="Q36" s="37"/>
      <c r="R36" s="38"/>
      <c r="S36" s="37"/>
      <c r="T36" s="31" t="n">
        <f aca="false">IF(OR(K36="",N36="",S36="Voided / Rescinded"),0,K36)</f>
        <v>0</v>
      </c>
      <c r="U36" s="12"/>
    </row>
    <row r="37" customFormat="false" ht="15" hidden="false" customHeight="false" outlineLevel="0" collapsed="false">
      <c r="A37" s="37"/>
      <c r="B37" s="38"/>
      <c r="C37" s="37"/>
      <c r="D37" s="31" t="str">
        <f aca="false">IF($C37="","",IFERROR(INDEX(Employee_Master!$B$5:$B$104,MATCH($C37,Employee_Master!$A$5:$A$104,0)),"ID not found"))</f>
        <v/>
      </c>
      <c r="E37" s="31" t="str">
        <f aca="false">IF($C37="","",IFERROR(INDEX(Employee_Master!$C$5:$C$104,MATCH($C37,Employee_Master!$A$5:$A$104,0)),"ID not found"))</f>
        <v/>
      </c>
      <c r="F37" s="37"/>
      <c r="G37" s="37"/>
      <c r="H37" s="37"/>
      <c r="I37" s="12"/>
      <c r="J37" s="37"/>
      <c r="K37" s="31" t="str">
        <f aca="false">IF(J37="","",IFERROR(INDEX(Reference_Data!$T$5:$T$14,MATCH(J37,Reference_Data!$S$5:$S$14,0)),0))</f>
        <v/>
      </c>
      <c r="L37" s="38"/>
      <c r="M37" s="38"/>
      <c r="N37" s="38"/>
      <c r="O37" s="37"/>
      <c r="P37" s="37"/>
      <c r="Q37" s="37"/>
      <c r="R37" s="38"/>
      <c r="S37" s="37"/>
      <c r="T37" s="31" t="n">
        <f aca="false">IF(OR(K37="",N37="",S37="Voided / Rescinded"),0,K37)</f>
        <v>0</v>
      </c>
      <c r="U37" s="12"/>
    </row>
    <row r="38" customFormat="false" ht="15" hidden="false" customHeight="false" outlineLevel="0" collapsed="false">
      <c r="A38" s="37"/>
      <c r="B38" s="38"/>
      <c r="C38" s="37"/>
      <c r="D38" s="31" t="str">
        <f aca="false">IF($C38="","",IFERROR(INDEX(Employee_Master!$B$5:$B$104,MATCH($C38,Employee_Master!$A$5:$A$104,0)),"ID not found"))</f>
        <v/>
      </c>
      <c r="E38" s="31" t="str">
        <f aca="false">IF($C38="","",IFERROR(INDEX(Employee_Master!$C$5:$C$104,MATCH($C38,Employee_Master!$A$5:$A$104,0)),"ID not found"))</f>
        <v/>
      </c>
      <c r="F38" s="37"/>
      <c r="G38" s="37"/>
      <c r="H38" s="37"/>
      <c r="I38" s="12"/>
      <c r="J38" s="37"/>
      <c r="K38" s="31" t="str">
        <f aca="false">IF(J38="","",IFERROR(INDEX(Reference_Data!$T$5:$T$14,MATCH(J38,Reference_Data!$S$5:$S$14,0)),0))</f>
        <v/>
      </c>
      <c r="L38" s="38"/>
      <c r="M38" s="38"/>
      <c r="N38" s="38"/>
      <c r="O38" s="37"/>
      <c r="P38" s="37"/>
      <c r="Q38" s="37"/>
      <c r="R38" s="38"/>
      <c r="S38" s="37"/>
      <c r="T38" s="31" t="n">
        <f aca="false">IF(OR(K38="",N38="",S38="Voided / Rescinded"),0,K38)</f>
        <v>0</v>
      </c>
      <c r="U38" s="12"/>
    </row>
    <row r="39" customFormat="false" ht="15" hidden="false" customHeight="false" outlineLevel="0" collapsed="false">
      <c r="A39" s="37"/>
      <c r="B39" s="38"/>
      <c r="C39" s="37"/>
      <c r="D39" s="31" t="str">
        <f aca="false">IF($C39="","",IFERROR(INDEX(Employee_Master!$B$5:$B$104,MATCH($C39,Employee_Master!$A$5:$A$104,0)),"ID not found"))</f>
        <v/>
      </c>
      <c r="E39" s="31" t="str">
        <f aca="false">IF($C39="","",IFERROR(INDEX(Employee_Master!$C$5:$C$104,MATCH($C39,Employee_Master!$A$5:$A$104,0)),"ID not found"))</f>
        <v/>
      </c>
      <c r="F39" s="37"/>
      <c r="G39" s="37"/>
      <c r="H39" s="37"/>
      <c r="I39" s="12"/>
      <c r="J39" s="37"/>
      <c r="K39" s="31" t="str">
        <f aca="false">IF(J39="","",IFERROR(INDEX(Reference_Data!$T$5:$T$14,MATCH(J39,Reference_Data!$S$5:$S$14,0)),0))</f>
        <v/>
      </c>
      <c r="L39" s="38"/>
      <c r="M39" s="38"/>
      <c r="N39" s="38"/>
      <c r="O39" s="37"/>
      <c r="P39" s="37"/>
      <c r="Q39" s="37"/>
      <c r="R39" s="38"/>
      <c r="S39" s="37"/>
      <c r="T39" s="31" t="n">
        <f aca="false">IF(OR(K39="",N39="",S39="Voided / Rescinded"),0,K39)</f>
        <v>0</v>
      </c>
      <c r="U39" s="12"/>
    </row>
    <row r="40" customFormat="false" ht="15" hidden="false" customHeight="false" outlineLevel="0" collapsed="false">
      <c r="A40" s="37"/>
      <c r="B40" s="38"/>
      <c r="C40" s="37"/>
      <c r="D40" s="31" t="str">
        <f aca="false">IF($C40="","",IFERROR(INDEX(Employee_Master!$B$5:$B$104,MATCH($C40,Employee_Master!$A$5:$A$104,0)),"ID not found"))</f>
        <v/>
      </c>
      <c r="E40" s="31" t="str">
        <f aca="false">IF($C40="","",IFERROR(INDEX(Employee_Master!$C$5:$C$104,MATCH($C40,Employee_Master!$A$5:$A$104,0)),"ID not found"))</f>
        <v/>
      </c>
      <c r="F40" s="37"/>
      <c r="G40" s="37"/>
      <c r="H40" s="37"/>
      <c r="I40" s="12"/>
      <c r="J40" s="37"/>
      <c r="K40" s="31" t="str">
        <f aca="false">IF(J40="","",IFERROR(INDEX(Reference_Data!$T$5:$T$14,MATCH(J40,Reference_Data!$S$5:$S$14,0)),0))</f>
        <v/>
      </c>
      <c r="L40" s="38"/>
      <c r="M40" s="38"/>
      <c r="N40" s="38"/>
      <c r="O40" s="37"/>
      <c r="P40" s="37"/>
      <c r="Q40" s="37"/>
      <c r="R40" s="38"/>
      <c r="S40" s="37"/>
      <c r="T40" s="31" t="n">
        <f aca="false">IF(OR(K40="",N40="",S40="Voided / Rescinded"),0,K40)</f>
        <v>0</v>
      </c>
      <c r="U40" s="12"/>
    </row>
    <row r="41" customFormat="false" ht="15" hidden="false" customHeight="false" outlineLevel="0" collapsed="false">
      <c r="A41" s="37"/>
      <c r="B41" s="38"/>
      <c r="C41" s="37"/>
      <c r="D41" s="31" t="str">
        <f aca="false">IF($C41="","",IFERROR(INDEX(Employee_Master!$B$5:$B$104,MATCH($C41,Employee_Master!$A$5:$A$104,0)),"ID not found"))</f>
        <v/>
      </c>
      <c r="E41" s="31" t="str">
        <f aca="false">IF($C41="","",IFERROR(INDEX(Employee_Master!$C$5:$C$104,MATCH($C41,Employee_Master!$A$5:$A$104,0)),"ID not found"))</f>
        <v/>
      </c>
      <c r="F41" s="37"/>
      <c r="G41" s="37"/>
      <c r="H41" s="37"/>
      <c r="I41" s="12"/>
      <c r="J41" s="37"/>
      <c r="K41" s="31" t="str">
        <f aca="false">IF(J41="","",IFERROR(INDEX(Reference_Data!$T$5:$T$14,MATCH(J41,Reference_Data!$S$5:$S$14,0)),0))</f>
        <v/>
      </c>
      <c r="L41" s="38"/>
      <c r="M41" s="38"/>
      <c r="N41" s="38"/>
      <c r="O41" s="37"/>
      <c r="P41" s="37"/>
      <c r="Q41" s="37"/>
      <c r="R41" s="38"/>
      <c r="S41" s="37"/>
      <c r="T41" s="31" t="n">
        <f aca="false">IF(OR(K41="",N41="",S41="Voided / Rescinded"),0,K41)</f>
        <v>0</v>
      </c>
      <c r="U41" s="12"/>
    </row>
    <row r="42" customFormat="false" ht="15" hidden="false" customHeight="false" outlineLevel="0" collapsed="false">
      <c r="A42" s="37"/>
      <c r="B42" s="38"/>
      <c r="C42" s="37"/>
      <c r="D42" s="31" t="str">
        <f aca="false">IF($C42="","",IFERROR(INDEX(Employee_Master!$B$5:$B$104,MATCH($C42,Employee_Master!$A$5:$A$104,0)),"ID not found"))</f>
        <v/>
      </c>
      <c r="E42" s="31" t="str">
        <f aca="false">IF($C42="","",IFERROR(INDEX(Employee_Master!$C$5:$C$104,MATCH($C42,Employee_Master!$A$5:$A$104,0)),"ID not found"))</f>
        <v/>
      </c>
      <c r="F42" s="37"/>
      <c r="G42" s="37"/>
      <c r="H42" s="37"/>
      <c r="I42" s="12"/>
      <c r="J42" s="37"/>
      <c r="K42" s="31" t="str">
        <f aca="false">IF(J42="","",IFERROR(INDEX(Reference_Data!$T$5:$T$14,MATCH(J42,Reference_Data!$S$5:$S$14,0)),0))</f>
        <v/>
      </c>
      <c r="L42" s="38"/>
      <c r="M42" s="38"/>
      <c r="N42" s="38"/>
      <c r="O42" s="37"/>
      <c r="P42" s="37"/>
      <c r="Q42" s="37"/>
      <c r="R42" s="38"/>
      <c r="S42" s="37"/>
      <c r="T42" s="31" t="n">
        <f aca="false">IF(OR(K42="",N42="",S42="Voided / Rescinded"),0,K42)</f>
        <v>0</v>
      </c>
      <c r="U42" s="12"/>
    </row>
    <row r="43" customFormat="false" ht="15" hidden="false" customHeight="false" outlineLevel="0" collapsed="false">
      <c r="A43" s="37"/>
      <c r="B43" s="38"/>
      <c r="C43" s="37"/>
      <c r="D43" s="31" t="str">
        <f aca="false">IF($C43="","",IFERROR(INDEX(Employee_Master!$B$5:$B$104,MATCH($C43,Employee_Master!$A$5:$A$104,0)),"ID not found"))</f>
        <v/>
      </c>
      <c r="E43" s="31" t="str">
        <f aca="false">IF($C43="","",IFERROR(INDEX(Employee_Master!$C$5:$C$104,MATCH($C43,Employee_Master!$A$5:$A$104,0)),"ID not found"))</f>
        <v/>
      </c>
      <c r="F43" s="37"/>
      <c r="G43" s="37"/>
      <c r="H43" s="37"/>
      <c r="I43" s="12"/>
      <c r="J43" s="37"/>
      <c r="K43" s="31" t="str">
        <f aca="false">IF(J43="","",IFERROR(INDEX(Reference_Data!$T$5:$T$14,MATCH(J43,Reference_Data!$S$5:$S$14,0)),0))</f>
        <v/>
      </c>
      <c r="L43" s="38"/>
      <c r="M43" s="38"/>
      <c r="N43" s="38"/>
      <c r="O43" s="37"/>
      <c r="P43" s="37"/>
      <c r="Q43" s="37"/>
      <c r="R43" s="38"/>
      <c r="S43" s="37"/>
      <c r="T43" s="31" t="n">
        <f aca="false">IF(OR(K43="",N43="",S43="Voided / Rescinded"),0,K43)</f>
        <v>0</v>
      </c>
      <c r="U43" s="12"/>
    </row>
    <row r="44" customFormat="false" ht="15" hidden="false" customHeight="false" outlineLevel="0" collapsed="false">
      <c r="A44" s="37"/>
      <c r="B44" s="38"/>
      <c r="C44" s="37"/>
      <c r="D44" s="31" t="str">
        <f aca="false">IF($C44="","",IFERROR(INDEX(Employee_Master!$B$5:$B$104,MATCH($C44,Employee_Master!$A$5:$A$104,0)),"ID not found"))</f>
        <v/>
      </c>
      <c r="E44" s="31" t="str">
        <f aca="false">IF($C44="","",IFERROR(INDEX(Employee_Master!$C$5:$C$104,MATCH($C44,Employee_Master!$A$5:$A$104,0)),"ID not found"))</f>
        <v/>
      </c>
      <c r="F44" s="37"/>
      <c r="G44" s="37"/>
      <c r="H44" s="37"/>
      <c r="I44" s="12"/>
      <c r="J44" s="37"/>
      <c r="K44" s="31" t="str">
        <f aca="false">IF(J44="","",IFERROR(INDEX(Reference_Data!$T$5:$T$14,MATCH(J44,Reference_Data!$S$5:$S$14,0)),0))</f>
        <v/>
      </c>
      <c r="L44" s="38"/>
      <c r="M44" s="38"/>
      <c r="N44" s="38"/>
      <c r="O44" s="37"/>
      <c r="P44" s="37"/>
      <c r="Q44" s="37"/>
      <c r="R44" s="38"/>
      <c r="S44" s="37"/>
      <c r="T44" s="31" t="n">
        <f aca="false">IF(OR(K44="",N44="",S44="Voided / Rescinded"),0,K44)</f>
        <v>0</v>
      </c>
      <c r="U44" s="12"/>
    </row>
    <row r="45" customFormat="false" ht="15" hidden="false" customHeight="false" outlineLevel="0" collapsed="false">
      <c r="A45" s="37"/>
      <c r="B45" s="38"/>
      <c r="C45" s="37"/>
      <c r="D45" s="31" t="str">
        <f aca="false">IF($C45="","",IFERROR(INDEX(Employee_Master!$B$5:$B$104,MATCH($C45,Employee_Master!$A$5:$A$104,0)),"ID not found"))</f>
        <v/>
      </c>
      <c r="E45" s="31" t="str">
        <f aca="false">IF($C45="","",IFERROR(INDEX(Employee_Master!$C$5:$C$104,MATCH($C45,Employee_Master!$A$5:$A$104,0)),"ID not found"))</f>
        <v/>
      </c>
      <c r="F45" s="37"/>
      <c r="G45" s="37"/>
      <c r="H45" s="37"/>
      <c r="I45" s="12"/>
      <c r="J45" s="37"/>
      <c r="K45" s="31" t="str">
        <f aca="false">IF(J45="","",IFERROR(INDEX(Reference_Data!$T$5:$T$14,MATCH(J45,Reference_Data!$S$5:$S$14,0)),0))</f>
        <v/>
      </c>
      <c r="L45" s="38"/>
      <c r="M45" s="38"/>
      <c r="N45" s="38"/>
      <c r="O45" s="37"/>
      <c r="P45" s="37"/>
      <c r="Q45" s="37"/>
      <c r="R45" s="38"/>
      <c r="S45" s="37"/>
      <c r="T45" s="31" t="n">
        <f aca="false">IF(OR(K45="",N45="",S45="Voided / Rescinded"),0,K45)</f>
        <v>0</v>
      </c>
      <c r="U45" s="12"/>
    </row>
    <row r="46" customFormat="false" ht="15" hidden="false" customHeight="false" outlineLevel="0" collapsed="false">
      <c r="A46" s="37"/>
      <c r="B46" s="38"/>
      <c r="C46" s="37"/>
      <c r="D46" s="31" t="str">
        <f aca="false">IF($C46="","",IFERROR(INDEX(Employee_Master!$B$5:$B$104,MATCH($C46,Employee_Master!$A$5:$A$104,0)),"ID not found"))</f>
        <v/>
      </c>
      <c r="E46" s="31" t="str">
        <f aca="false">IF($C46="","",IFERROR(INDEX(Employee_Master!$C$5:$C$104,MATCH($C46,Employee_Master!$A$5:$A$104,0)),"ID not found"))</f>
        <v/>
      </c>
      <c r="F46" s="37"/>
      <c r="G46" s="37"/>
      <c r="H46" s="37"/>
      <c r="I46" s="12"/>
      <c r="J46" s="37"/>
      <c r="K46" s="31" t="str">
        <f aca="false">IF(J46="","",IFERROR(INDEX(Reference_Data!$T$5:$T$14,MATCH(J46,Reference_Data!$S$5:$S$14,0)),0))</f>
        <v/>
      </c>
      <c r="L46" s="38"/>
      <c r="M46" s="38"/>
      <c r="N46" s="38"/>
      <c r="O46" s="37"/>
      <c r="P46" s="37"/>
      <c r="Q46" s="37"/>
      <c r="R46" s="38"/>
      <c r="S46" s="37"/>
      <c r="T46" s="31" t="n">
        <f aca="false">IF(OR(K46="",N46="",S46="Voided / Rescinded"),0,K46)</f>
        <v>0</v>
      </c>
      <c r="U46" s="12"/>
    </row>
    <row r="47" customFormat="false" ht="15" hidden="false" customHeight="false" outlineLevel="0" collapsed="false">
      <c r="A47" s="37"/>
      <c r="B47" s="38"/>
      <c r="C47" s="37"/>
      <c r="D47" s="31" t="str">
        <f aca="false">IF($C47="","",IFERROR(INDEX(Employee_Master!$B$5:$B$104,MATCH($C47,Employee_Master!$A$5:$A$104,0)),"ID not found"))</f>
        <v/>
      </c>
      <c r="E47" s="31" t="str">
        <f aca="false">IF($C47="","",IFERROR(INDEX(Employee_Master!$C$5:$C$104,MATCH($C47,Employee_Master!$A$5:$A$104,0)),"ID not found"))</f>
        <v/>
      </c>
      <c r="F47" s="37"/>
      <c r="G47" s="37"/>
      <c r="H47" s="37"/>
      <c r="I47" s="12"/>
      <c r="J47" s="37"/>
      <c r="K47" s="31" t="str">
        <f aca="false">IF(J47="","",IFERROR(INDEX(Reference_Data!$T$5:$T$14,MATCH(J47,Reference_Data!$S$5:$S$14,0)),0))</f>
        <v/>
      </c>
      <c r="L47" s="38"/>
      <c r="M47" s="38"/>
      <c r="N47" s="38"/>
      <c r="O47" s="37"/>
      <c r="P47" s="37"/>
      <c r="Q47" s="37"/>
      <c r="R47" s="38"/>
      <c r="S47" s="37"/>
      <c r="T47" s="31" t="n">
        <f aca="false">IF(OR(K47="",N47="",S47="Voided / Rescinded"),0,K47)</f>
        <v>0</v>
      </c>
      <c r="U47" s="12"/>
    </row>
    <row r="48" customFormat="false" ht="15" hidden="false" customHeight="false" outlineLevel="0" collapsed="false">
      <c r="A48" s="37"/>
      <c r="B48" s="38"/>
      <c r="C48" s="37"/>
      <c r="D48" s="31" t="str">
        <f aca="false">IF($C48="","",IFERROR(INDEX(Employee_Master!$B$5:$B$104,MATCH($C48,Employee_Master!$A$5:$A$104,0)),"ID not found"))</f>
        <v/>
      </c>
      <c r="E48" s="31" t="str">
        <f aca="false">IF($C48="","",IFERROR(INDEX(Employee_Master!$C$5:$C$104,MATCH($C48,Employee_Master!$A$5:$A$104,0)),"ID not found"))</f>
        <v/>
      </c>
      <c r="F48" s="37"/>
      <c r="G48" s="37"/>
      <c r="H48" s="37"/>
      <c r="I48" s="12"/>
      <c r="J48" s="37"/>
      <c r="K48" s="31" t="str">
        <f aca="false">IF(J48="","",IFERROR(INDEX(Reference_Data!$T$5:$T$14,MATCH(J48,Reference_Data!$S$5:$S$14,0)),0))</f>
        <v/>
      </c>
      <c r="L48" s="38"/>
      <c r="M48" s="38"/>
      <c r="N48" s="38"/>
      <c r="O48" s="37"/>
      <c r="P48" s="37"/>
      <c r="Q48" s="37"/>
      <c r="R48" s="38"/>
      <c r="S48" s="37"/>
      <c r="T48" s="31" t="n">
        <f aca="false">IF(OR(K48="",N48="",S48="Voided / Rescinded"),0,K48)</f>
        <v>0</v>
      </c>
      <c r="U48" s="12"/>
    </row>
    <row r="49" customFormat="false" ht="15" hidden="false" customHeight="false" outlineLevel="0" collapsed="false">
      <c r="A49" s="37"/>
      <c r="B49" s="38"/>
      <c r="C49" s="37"/>
      <c r="D49" s="31" t="str">
        <f aca="false">IF($C49="","",IFERROR(INDEX(Employee_Master!$B$5:$B$104,MATCH($C49,Employee_Master!$A$5:$A$104,0)),"ID not found"))</f>
        <v/>
      </c>
      <c r="E49" s="31" t="str">
        <f aca="false">IF($C49="","",IFERROR(INDEX(Employee_Master!$C$5:$C$104,MATCH($C49,Employee_Master!$A$5:$A$104,0)),"ID not found"))</f>
        <v/>
      </c>
      <c r="F49" s="37"/>
      <c r="G49" s="37"/>
      <c r="H49" s="37"/>
      <c r="I49" s="12"/>
      <c r="J49" s="37"/>
      <c r="K49" s="31" t="str">
        <f aca="false">IF(J49="","",IFERROR(INDEX(Reference_Data!$T$5:$T$14,MATCH(J49,Reference_Data!$S$5:$S$14,0)),0))</f>
        <v/>
      </c>
      <c r="L49" s="38"/>
      <c r="M49" s="38"/>
      <c r="N49" s="38"/>
      <c r="O49" s="37"/>
      <c r="P49" s="37"/>
      <c r="Q49" s="37"/>
      <c r="R49" s="38"/>
      <c r="S49" s="37"/>
      <c r="T49" s="31" t="n">
        <f aca="false">IF(OR(K49="",N49="",S49="Voided / Rescinded"),0,K49)</f>
        <v>0</v>
      </c>
      <c r="U49" s="12"/>
    </row>
    <row r="50" customFormat="false" ht="15" hidden="false" customHeight="false" outlineLevel="0" collapsed="false">
      <c r="A50" s="37"/>
      <c r="B50" s="38"/>
      <c r="C50" s="37"/>
      <c r="D50" s="31" t="str">
        <f aca="false">IF($C50="","",IFERROR(INDEX(Employee_Master!$B$5:$B$104,MATCH($C50,Employee_Master!$A$5:$A$104,0)),"ID not found"))</f>
        <v/>
      </c>
      <c r="E50" s="31" t="str">
        <f aca="false">IF($C50="","",IFERROR(INDEX(Employee_Master!$C$5:$C$104,MATCH($C50,Employee_Master!$A$5:$A$104,0)),"ID not found"))</f>
        <v/>
      </c>
      <c r="F50" s="37"/>
      <c r="G50" s="37"/>
      <c r="H50" s="37"/>
      <c r="I50" s="12"/>
      <c r="J50" s="37"/>
      <c r="K50" s="31" t="str">
        <f aca="false">IF(J50="","",IFERROR(INDEX(Reference_Data!$T$5:$T$14,MATCH(J50,Reference_Data!$S$5:$S$14,0)),0))</f>
        <v/>
      </c>
      <c r="L50" s="38"/>
      <c r="M50" s="38"/>
      <c r="N50" s="38"/>
      <c r="O50" s="37"/>
      <c r="P50" s="37"/>
      <c r="Q50" s="37"/>
      <c r="R50" s="38"/>
      <c r="S50" s="37"/>
      <c r="T50" s="31" t="n">
        <f aca="false">IF(OR(K50="",N50="",S50="Voided / Rescinded"),0,K50)</f>
        <v>0</v>
      </c>
      <c r="U50" s="12"/>
    </row>
    <row r="51" customFormat="false" ht="15" hidden="false" customHeight="false" outlineLevel="0" collapsed="false">
      <c r="A51" s="37"/>
      <c r="B51" s="38"/>
      <c r="C51" s="37"/>
      <c r="D51" s="31" t="str">
        <f aca="false">IF($C51="","",IFERROR(INDEX(Employee_Master!$B$5:$B$104,MATCH($C51,Employee_Master!$A$5:$A$104,0)),"ID not found"))</f>
        <v/>
      </c>
      <c r="E51" s="31" t="str">
        <f aca="false">IF($C51="","",IFERROR(INDEX(Employee_Master!$C$5:$C$104,MATCH($C51,Employee_Master!$A$5:$A$104,0)),"ID not found"))</f>
        <v/>
      </c>
      <c r="F51" s="37"/>
      <c r="G51" s="37"/>
      <c r="H51" s="37"/>
      <c r="I51" s="12"/>
      <c r="J51" s="37"/>
      <c r="K51" s="31" t="str">
        <f aca="false">IF(J51="","",IFERROR(INDEX(Reference_Data!$T$5:$T$14,MATCH(J51,Reference_Data!$S$5:$S$14,0)),0))</f>
        <v/>
      </c>
      <c r="L51" s="38"/>
      <c r="M51" s="38"/>
      <c r="N51" s="38"/>
      <c r="O51" s="37"/>
      <c r="P51" s="37"/>
      <c r="Q51" s="37"/>
      <c r="R51" s="38"/>
      <c r="S51" s="37"/>
      <c r="T51" s="31" t="n">
        <f aca="false">IF(OR(K51="",N51="",S51="Voided / Rescinded"),0,K51)</f>
        <v>0</v>
      </c>
      <c r="U51" s="12"/>
    </row>
    <row r="52" customFormat="false" ht="15" hidden="false" customHeight="false" outlineLevel="0" collapsed="false">
      <c r="A52" s="37"/>
      <c r="B52" s="38"/>
      <c r="C52" s="37"/>
      <c r="D52" s="31" t="str">
        <f aca="false">IF($C52="","",IFERROR(INDEX(Employee_Master!$B$5:$B$104,MATCH($C52,Employee_Master!$A$5:$A$104,0)),"ID not found"))</f>
        <v/>
      </c>
      <c r="E52" s="31" t="str">
        <f aca="false">IF($C52="","",IFERROR(INDEX(Employee_Master!$C$5:$C$104,MATCH($C52,Employee_Master!$A$5:$A$104,0)),"ID not found"))</f>
        <v/>
      </c>
      <c r="F52" s="37"/>
      <c r="G52" s="37"/>
      <c r="H52" s="37"/>
      <c r="I52" s="12"/>
      <c r="J52" s="37"/>
      <c r="K52" s="31" t="str">
        <f aca="false">IF(J52="","",IFERROR(INDEX(Reference_Data!$T$5:$T$14,MATCH(J52,Reference_Data!$S$5:$S$14,0)),0))</f>
        <v/>
      </c>
      <c r="L52" s="38"/>
      <c r="M52" s="38"/>
      <c r="N52" s="38"/>
      <c r="O52" s="37"/>
      <c r="P52" s="37"/>
      <c r="Q52" s="37"/>
      <c r="R52" s="38"/>
      <c r="S52" s="37"/>
      <c r="T52" s="31" t="n">
        <f aca="false">IF(OR(K52="",N52="",S52="Voided / Rescinded"),0,K52)</f>
        <v>0</v>
      </c>
      <c r="U52" s="12"/>
    </row>
    <row r="53" customFormat="false" ht="15" hidden="false" customHeight="false" outlineLevel="0" collapsed="false">
      <c r="A53" s="37"/>
      <c r="B53" s="38"/>
      <c r="C53" s="37"/>
      <c r="D53" s="31" t="str">
        <f aca="false">IF($C53="","",IFERROR(INDEX(Employee_Master!$B$5:$B$104,MATCH($C53,Employee_Master!$A$5:$A$104,0)),"ID not found"))</f>
        <v/>
      </c>
      <c r="E53" s="31" t="str">
        <f aca="false">IF($C53="","",IFERROR(INDEX(Employee_Master!$C$5:$C$104,MATCH($C53,Employee_Master!$A$5:$A$104,0)),"ID not found"))</f>
        <v/>
      </c>
      <c r="F53" s="37"/>
      <c r="G53" s="37"/>
      <c r="H53" s="37"/>
      <c r="I53" s="12"/>
      <c r="J53" s="37"/>
      <c r="K53" s="31" t="str">
        <f aca="false">IF(J53="","",IFERROR(INDEX(Reference_Data!$T$5:$T$14,MATCH(J53,Reference_Data!$S$5:$S$14,0)),0))</f>
        <v/>
      </c>
      <c r="L53" s="38"/>
      <c r="M53" s="38"/>
      <c r="N53" s="38"/>
      <c r="O53" s="37"/>
      <c r="P53" s="37"/>
      <c r="Q53" s="37"/>
      <c r="R53" s="38"/>
      <c r="S53" s="37"/>
      <c r="T53" s="31" t="n">
        <f aca="false">IF(OR(K53="",N53="",S53="Voided / Rescinded"),0,K53)</f>
        <v>0</v>
      </c>
      <c r="U53" s="12"/>
    </row>
    <row r="54" customFormat="false" ht="15" hidden="false" customHeight="false" outlineLevel="0" collapsed="false">
      <c r="A54" s="37"/>
      <c r="B54" s="38"/>
      <c r="C54" s="37"/>
      <c r="D54" s="31" t="str">
        <f aca="false">IF($C54="","",IFERROR(INDEX(Employee_Master!$B$5:$B$104,MATCH($C54,Employee_Master!$A$5:$A$104,0)),"ID not found"))</f>
        <v/>
      </c>
      <c r="E54" s="31" t="str">
        <f aca="false">IF($C54="","",IFERROR(INDEX(Employee_Master!$C$5:$C$104,MATCH($C54,Employee_Master!$A$5:$A$104,0)),"ID not found"))</f>
        <v/>
      </c>
      <c r="F54" s="37"/>
      <c r="G54" s="37"/>
      <c r="H54" s="37"/>
      <c r="I54" s="12"/>
      <c r="J54" s="37"/>
      <c r="K54" s="31" t="str">
        <f aca="false">IF(J54="","",IFERROR(INDEX(Reference_Data!$T$5:$T$14,MATCH(J54,Reference_Data!$S$5:$S$14,0)),0))</f>
        <v/>
      </c>
      <c r="L54" s="38"/>
      <c r="M54" s="38"/>
      <c r="N54" s="38"/>
      <c r="O54" s="37"/>
      <c r="P54" s="37"/>
      <c r="Q54" s="37"/>
      <c r="R54" s="38"/>
      <c r="S54" s="37"/>
      <c r="T54" s="31" t="n">
        <f aca="false">IF(OR(K54="",N54="",S54="Voided / Rescinded"),0,K54)</f>
        <v>0</v>
      </c>
      <c r="U54" s="12"/>
    </row>
    <row r="55" customFormat="false" ht="15" hidden="false" customHeight="false" outlineLevel="0" collapsed="false">
      <c r="A55" s="37"/>
      <c r="B55" s="38"/>
      <c r="C55" s="37"/>
      <c r="D55" s="31" t="str">
        <f aca="false">IF($C55="","",IFERROR(INDEX(Employee_Master!$B$5:$B$104,MATCH($C55,Employee_Master!$A$5:$A$104,0)),"ID not found"))</f>
        <v/>
      </c>
      <c r="E55" s="31" t="str">
        <f aca="false">IF($C55="","",IFERROR(INDEX(Employee_Master!$C$5:$C$104,MATCH($C55,Employee_Master!$A$5:$A$104,0)),"ID not found"))</f>
        <v/>
      </c>
      <c r="F55" s="37"/>
      <c r="G55" s="37"/>
      <c r="H55" s="37"/>
      <c r="I55" s="12"/>
      <c r="J55" s="37"/>
      <c r="K55" s="31" t="str">
        <f aca="false">IF(J55="","",IFERROR(INDEX(Reference_Data!$T$5:$T$14,MATCH(J55,Reference_Data!$S$5:$S$14,0)),0))</f>
        <v/>
      </c>
      <c r="L55" s="38"/>
      <c r="M55" s="38"/>
      <c r="N55" s="38"/>
      <c r="O55" s="37"/>
      <c r="P55" s="37"/>
      <c r="Q55" s="37"/>
      <c r="R55" s="38"/>
      <c r="S55" s="37"/>
      <c r="T55" s="31" t="n">
        <f aca="false">IF(OR(K55="",N55="",S55="Voided / Rescinded"),0,K55)</f>
        <v>0</v>
      </c>
      <c r="U55" s="12"/>
    </row>
    <row r="56" customFormat="false" ht="15" hidden="false" customHeight="false" outlineLevel="0" collapsed="false">
      <c r="A56" s="37"/>
      <c r="B56" s="38"/>
      <c r="C56" s="37"/>
      <c r="D56" s="31" t="str">
        <f aca="false">IF($C56="","",IFERROR(INDEX(Employee_Master!$B$5:$B$104,MATCH($C56,Employee_Master!$A$5:$A$104,0)),"ID not found"))</f>
        <v/>
      </c>
      <c r="E56" s="31" t="str">
        <f aca="false">IF($C56="","",IFERROR(INDEX(Employee_Master!$C$5:$C$104,MATCH($C56,Employee_Master!$A$5:$A$104,0)),"ID not found"))</f>
        <v/>
      </c>
      <c r="F56" s="37"/>
      <c r="G56" s="37"/>
      <c r="H56" s="37"/>
      <c r="I56" s="12"/>
      <c r="J56" s="37"/>
      <c r="K56" s="31" t="str">
        <f aca="false">IF(J56="","",IFERROR(INDEX(Reference_Data!$T$5:$T$14,MATCH(J56,Reference_Data!$S$5:$S$14,0)),0))</f>
        <v/>
      </c>
      <c r="L56" s="38"/>
      <c r="M56" s="38"/>
      <c r="N56" s="38"/>
      <c r="O56" s="37"/>
      <c r="P56" s="37"/>
      <c r="Q56" s="37"/>
      <c r="R56" s="38"/>
      <c r="S56" s="37"/>
      <c r="T56" s="31" t="n">
        <f aca="false">IF(OR(K56="",N56="",S56="Voided / Rescinded"),0,K56)</f>
        <v>0</v>
      </c>
      <c r="U56" s="12"/>
    </row>
    <row r="57" customFormat="false" ht="15" hidden="false" customHeight="false" outlineLevel="0" collapsed="false">
      <c r="A57" s="37"/>
      <c r="B57" s="38"/>
      <c r="C57" s="37"/>
      <c r="D57" s="31" t="str">
        <f aca="false">IF($C57="","",IFERROR(INDEX(Employee_Master!$B$5:$B$104,MATCH($C57,Employee_Master!$A$5:$A$104,0)),"ID not found"))</f>
        <v/>
      </c>
      <c r="E57" s="31" t="str">
        <f aca="false">IF($C57="","",IFERROR(INDEX(Employee_Master!$C$5:$C$104,MATCH($C57,Employee_Master!$A$5:$A$104,0)),"ID not found"))</f>
        <v/>
      </c>
      <c r="F57" s="37"/>
      <c r="G57" s="37"/>
      <c r="H57" s="37"/>
      <c r="I57" s="12"/>
      <c r="J57" s="37"/>
      <c r="K57" s="31" t="str">
        <f aca="false">IF(J57="","",IFERROR(INDEX(Reference_Data!$T$5:$T$14,MATCH(J57,Reference_Data!$S$5:$S$14,0)),0))</f>
        <v/>
      </c>
      <c r="L57" s="38"/>
      <c r="M57" s="38"/>
      <c r="N57" s="38"/>
      <c r="O57" s="37"/>
      <c r="P57" s="37"/>
      <c r="Q57" s="37"/>
      <c r="R57" s="38"/>
      <c r="S57" s="37"/>
      <c r="T57" s="31" t="n">
        <f aca="false">IF(OR(K57="",N57="",S57="Voided / Rescinded"),0,K57)</f>
        <v>0</v>
      </c>
      <c r="U57" s="12"/>
    </row>
    <row r="58" customFormat="false" ht="15" hidden="false" customHeight="false" outlineLevel="0" collapsed="false">
      <c r="A58" s="37"/>
      <c r="B58" s="38"/>
      <c r="C58" s="37"/>
      <c r="D58" s="31" t="str">
        <f aca="false">IF($C58="","",IFERROR(INDEX(Employee_Master!$B$5:$B$104,MATCH($C58,Employee_Master!$A$5:$A$104,0)),"ID not found"))</f>
        <v/>
      </c>
      <c r="E58" s="31" t="str">
        <f aca="false">IF($C58="","",IFERROR(INDEX(Employee_Master!$C$5:$C$104,MATCH($C58,Employee_Master!$A$5:$A$104,0)),"ID not found"))</f>
        <v/>
      </c>
      <c r="F58" s="37"/>
      <c r="G58" s="37"/>
      <c r="H58" s="37"/>
      <c r="I58" s="12"/>
      <c r="J58" s="37"/>
      <c r="K58" s="31" t="str">
        <f aca="false">IF(J58="","",IFERROR(INDEX(Reference_Data!$T$5:$T$14,MATCH(J58,Reference_Data!$S$5:$S$14,0)),0))</f>
        <v/>
      </c>
      <c r="L58" s="38"/>
      <c r="M58" s="38"/>
      <c r="N58" s="38"/>
      <c r="O58" s="37"/>
      <c r="P58" s="37"/>
      <c r="Q58" s="37"/>
      <c r="R58" s="38"/>
      <c r="S58" s="37"/>
      <c r="T58" s="31" t="n">
        <f aca="false">IF(OR(K58="",N58="",S58="Voided / Rescinded"),0,K58)</f>
        <v>0</v>
      </c>
      <c r="U58" s="12"/>
    </row>
    <row r="59" customFormat="false" ht="15" hidden="false" customHeight="false" outlineLevel="0" collapsed="false">
      <c r="A59" s="37"/>
      <c r="B59" s="38"/>
      <c r="C59" s="37"/>
      <c r="D59" s="31" t="str">
        <f aca="false">IF($C59="","",IFERROR(INDEX(Employee_Master!$B$5:$B$104,MATCH($C59,Employee_Master!$A$5:$A$104,0)),"ID not found"))</f>
        <v/>
      </c>
      <c r="E59" s="31" t="str">
        <f aca="false">IF($C59="","",IFERROR(INDEX(Employee_Master!$C$5:$C$104,MATCH($C59,Employee_Master!$A$5:$A$104,0)),"ID not found"))</f>
        <v/>
      </c>
      <c r="F59" s="37"/>
      <c r="G59" s="37"/>
      <c r="H59" s="37"/>
      <c r="I59" s="12"/>
      <c r="J59" s="37"/>
      <c r="K59" s="31" t="str">
        <f aca="false">IF(J59="","",IFERROR(INDEX(Reference_Data!$T$5:$T$14,MATCH(J59,Reference_Data!$S$5:$S$14,0)),0))</f>
        <v/>
      </c>
      <c r="L59" s="38"/>
      <c r="M59" s="38"/>
      <c r="N59" s="38"/>
      <c r="O59" s="37"/>
      <c r="P59" s="37"/>
      <c r="Q59" s="37"/>
      <c r="R59" s="38"/>
      <c r="S59" s="37"/>
      <c r="T59" s="31" t="n">
        <f aca="false">IF(OR(K59="",N59="",S59="Voided / Rescinded"),0,K59)</f>
        <v>0</v>
      </c>
      <c r="U59" s="12"/>
    </row>
    <row r="60" customFormat="false" ht="15" hidden="false" customHeight="false" outlineLevel="0" collapsed="false">
      <c r="A60" s="37"/>
      <c r="B60" s="38"/>
      <c r="C60" s="37"/>
      <c r="D60" s="31" t="str">
        <f aca="false">IF($C60="","",IFERROR(INDEX(Employee_Master!$B$5:$B$104,MATCH($C60,Employee_Master!$A$5:$A$104,0)),"ID not found"))</f>
        <v/>
      </c>
      <c r="E60" s="31" t="str">
        <f aca="false">IF($C60="","",IFERROR(INDEX(Employee_Master!$C$5:$C$104,MATCH($C60,Employee_Master!$A$5:$A$104,0)),"ID not found"))</f>
        <v/>
      </c>
      <c r="F60" s="37"/>
      <c r="G60" s="37"/>
      <c r="H60" s="37"/>
      <c r="I60" s="12"/>
      <c r="J60" s="37"/>
      <c r="K60" s="31" t="str">
        <f aca="false">IF(J60="","",IFERROR(INDEX(Reference_Data!$T$5:$T$14,MATCH(J60,Reference_Data!$S$5:$S$14,0)),0))</f>
        <v/>
      </c>
      <c r="L60" s="38"/>
      <c r="M60" s="38"/>
      <c r="N60" s="38"/>
      <c r="O60" s="37"/>
      <c r="P60" s="37"/>
      <c r="Q60" s="37"/>
      <c r="R60" s="38"/>
      <c r="S60" s="37"/>
      <c r="T60" s="31" t="n">
        <f aca="false">IF(OR(K60="",N60="",S60="Voided / Rescinded"),0,K60)</f>
        <v>0</v>
      </c>
      <c r="U60" s="12"/>
    </row>
    <row r="61" customFormat="false" ht="15" hidden="false" customHeight="false" outlineLevel="0" collapsed="false">
      <c r="A61" s="37"/>
      <c r="B61" s="38"/>
      <c r="C61" s="37"/>
      <c r="D61" s="31" t="str">
        <f aca="false">IF($C61="","",IFERROR(INDEX(Employee_Master!$B$5:$B$104,MATCH($C61,Employee_Master!$A$5:$A$104,0)),"ID not found"))</f>
        <v/>
      </c>
      <c r="E61" s="31" t="str">
        <f aca="false">IF($C61="","",IFERROR(INDEX(Employee_Master!$C$5:$C$104,MATCH($C61,Employee_Master!$A$5:$A$104,0)),"ID not found"))</f>
        <v/>
      </c>
      <c r="F61" s="37"/>
      <c r="G61" s="37"/>
      <c r="H61" s="37"/>
      <c r="I61" s="12"/>
      <c r="J61" s="37"/>
      <c r="K61" s="31" t="str">
        <f aca="false">IF(J61="","",IFERROR(INDEX(Reference_Data!$T$5:$T$14,MATCH(J61,Reference_Data!$S$5:$S$14,0)),0))</f>
        <v/>
      </c>
      <c r="L61" s="38"/>
      <c r="M61" s="38"/>
      <c r="N61" s="38"/>
      <c r="O61" s="37"/>
      <c r="P61" s="37"/>
      <c r="Q61" s="37"/>
      <c r="R61" s="38"/>
      <c r="S61" s="37"/>
      <c r="T61" s="31" t="n">
        <f aca="false">IF(OR(K61="",N61="",S61="Voided / Rescinded"),0,K61)</f>
        <v>0</v>
      </c>
      <c r="U61" s="12"/>
    </row>
    <row r="62" customFormat="false" ht="15" hidden="false" customHeight="false" outlineLevel="0" collapsed="false">
      <c r="A62" s="37"/>
      <c r="B62" s="38"/>
      <c r="C62" s="37"/>
      <c r="D62" s="31" t="str">
        <f aca="false">IF($C62="","",IFERROR(INDEX(Employee_Master!$B$5:$B$104,MATCH($C62,Employee_Master!$A$5:$A$104,0)),"ID not found"))</f>
        <v/>
      </c>
      <c r="E62" s="31" t="str">
        <f aca="false">IF($C62="","",IFERROR(INDEX(Employee_Master!$C$5:$C$104,MATCH($C62,Employee_Master!$A$5:$A$104,0)),"ID not found"))</f>
        <v/>
      </c>
      <c r="F62" s="37"/>
      <c r="G62" s="37"/>
      <c r="H62" s="37"/>
      <c r="I62" s="12"/>
      <c r="J62" s="37"/>
      <c r="K62" s="31" t="str">
        <f aca="false">IF(J62="","",IFERROR(INDEX(Reference_Data!$T$5:$T$14,MATCH(J62,Reference_Data!$S$5:$S$14,0)),0))</f>
        <v/>
      </c>
      <c r="L62" s="38"/>
      <c r="M62" s="38"/>
      <c r="N62" s="38"/>
      <c r="O62" s="37"/>
      <c r="P62" s="37"/>
      <c r="Q62" s="37"/>
      <c r="R62" s="38"/>
      <c r="S62" s="37"/>
      <c r="T62" s="31" t="n">
        <f aca="false">IF(OR(K62="",N62="",S62="Voided / Rescinded"),0,K62)</f>
        <v>0</v>
      </c>
      <c r="U62" s="12"/>
    </row>
    <row r="63" customFormat="false" ht="15" hidden="false" customHeight="false" outlineLevel="0" collapsed="false">
      <c r="A63" s="37"/>
      <c r="B63" s="38"/>
      <c r="C63" s="37"/>
      <c r="D63" s="31" t="str">
        <f aca="false">IF($C63="","",IFERROR(INDEX(Employee_Master!$B$5:$B$104,MATCH($C63,Employee_Master!$A$5:$A$104,0)),"ID not found"))</f>
        <v/>
      </c>
      <c r="E63" s="31" t="str">
        <f aca="false">IF($C63="","",IFERROR(INDEX(Employee_Master!$C$5:$C$104,MATCH($C63,Employee_Master!$A$5:$A$104,0)),"ID not found"))</f>
        <v/>
      </c>
      <c r="F63" s="37"/>
      <c r="G63" s="37"/>
      <c r="H63" s="37"/>
      <c r="I63" s="12"/>
      <c r="J63" s="37"/>
      <c r="K63" s="31" t="str">
        <f aca="false">IF(J63="","",IFERROR(INDEX(Reference_Data!$T$5:$T$14,MATCH(J63,Reference_Data!$S$5:$S$14,0)),0))</f>
        <v/>
      </c>
      <c r="L63" s="38"/>
      <c r="M63" s="38"/>
      <c r="N63" s="38"/>
      <c r="O63" s="37"/>
      <c r="P63" s="37"/>
      <c r="Q63" s="37"/>
      <c r="R63" s="38"/>
      <c r="S63" s="37"/>
      <c r="T63" s="31" t="n">
        <f aca="false">IF(OR(K63="",N63="",S63="Voided / Rescinded"),0,K63)</f>
        <v>0</v>
      </c>
      <c r="U63" s="12"/>
    </row>
    <row r="64" customFormat="false" ht="15" hidden="false" customHeight="false" outlineLevel="0" collapsed="false">
      <c r="A64" s="37"/>
      <c r="B64" s="38"/>
      <c r="C64" s="37"/>
      <c r="D64" s="31" t="str">
        <f aca="false">IF($C64="","",IFERROR(INDEX(Employee_Master!$B$5:$B$104,MATCH($C64,Employee_Master!$A$5:$A$104,0)),"ID not found"))</f>
        <v/>
      </c>
      <c r="E64" s="31" t="str">
        <f aca="false">IF($C64="","",IFERROR(INDEX(Employee_Master!$C$5:$C$104,MATCH($C64,Employee_Master!$A$5:$A$104,0)),"ID not found"))</f>
        <v/>
      </c>
      <c r="F64" s="37"/>
      <c r="G64" s="37"/>
      <c r="H64" s="37"/>
      <c r="I64" s="12"/>
      <c r="J64" s="37"/>
      <c r="K64" s="31" t="str">
        <f aca="false">IF(J64="","",IFERROR(INDEX(Reference_Data!$T$5:$T$14,MATCH(J64,Reference_Data!$S$5:$S$14,0)),0))</f>
        <v/>
      </c>
      <c r="L64" s="38"/>
      <c r="M64" s="38"/>
      <c r="N64" s="38"/>
      <c r="O64" s="37"/>
      <c r="P64" s="37"/>
      <c r="Q64" s="37"/>
      <c r="R64" s="38"/>
      <c r="S64" s="37"/>
      <c r="T64" s="31" t="n">
        <f aca="false">IF(OR(K64="",N64="",S64="Voided / Rescinded"),0,K64)</f>
        <v>0</v>
      </c>
      <c r="U64" s="12"/>
    </row>
    <row r="65" customFormat="false" ht="15" hidden="false" customHeight="false" outlineLevel="0" collapsed="false">
      <c r="A65" s="37"/>
      <c r="B65" s="38"/>
      <c r="C65" s="37"/>
      <c r="D65" s="31" t="str">
        <f aca="false">IF($C65="","",IFERROR(INDEX(Employee_Master!$B$5:$B$104,MATCH($C65,Employee_Master!$A$5:$A$104,0)),"ID not found"))</f>
        <v/>
      </c>
      <c r="E65" s="31" t="str">
        <f aca="false">IF($C65="","",IFERROR(INDEX(Employee_Master!$C$5:$C$104,MATCH($C65,Employee_Master!$A$5:$A$104,0)),"ID not found"))</f>
        <v/>
      </c>
      <c r="F65" s="37"/>
      <c r="G65" s="37"/>
      <c r="H65" s="37"/>
      <c r="I65" s="12"/>
      <c r="J65" s="37"/>
      <c r="K65" s="31" t="str">
        <f aca="false">IF(J65="","",IFERROR(INDEX(Reference_Data!$T$5:$T$14,MATCH(J65,Reference_Data!$S$5:$S$14,0)),0))</f>
        <v/>
      </c>
      <c r="L65" s="38"/>
      <c r="M65" s="38"/>
      <c r="N65" s="38"/>
      <c r="O65" s="37"/>
      <c r="P65" s="37"/>
      <c r="Q65" s="37"/>
      <c r="R65" s="38"/>
      <c r="S65" s="37"/>
      <c r="T65" s="31" t="n">
        <f aca="false">IF(OR(K65="",N65="",S65="Voided / Rescinded"),0,K65)</f>
        <v>0</v>
      </c>
      <c r="U65" s="12"/>
    </row>
    <row r="66" customFormat="false" ht="15" hidden="false" customHeight="false" outlineLevel="0" collapsed="false">
      <c r="A66" s="37"/>
      <c r="B66" s="38"/>
      <c r="C66" s="37"/>
      <c r="D66" s="31" t="str">
        <f aca="false">IF($C66="","",IFERROR(INDEX(Employee_Master!$B$5:$B$104,MATCH($C66,Employee_Master!$A$5:$A$104,0)),"ID not found"))</f>
        <v/>
      </c>
      <c r="E66" s="31" t="str">
        <f aca="false">IF($C66="","",IFERROR(INDEX(Employee_Master!$C$5:$C$104,MATCH($C66,Employee_Master!$A$5:$A$104,0)),"ID not found"))</f>
        <v/>
      </c>
      <c r="F66" s="37"/>
      <c r="G66" s="37"/>
      <c r="H66" s="37"/>
      <c r="I66" s="12"/>
      <c r="J66" s="37"/>
      <c r="K66" s="31" t="str">
        <f aca="false">IF(J66="","",IFERROR(INDEX(Reference_Data!$T$5:$T$14,MATCH(J66,Reference_Data!$S$5:$S$14,0)),0))</f>
        <v/>
      </c>
      <c r="L66" s="38"/>
      <c r="M66" s="38"/>
      <c r="N66" s="38"/>
      <c r="O66" s="37"/>
      <c r="P66" s="37"/>
      <c r="Q66" s="37"/>
      <c r="R66" s="38"/>
      <c r="S66" s="37"/>
      <c r="T66" s="31" t="n">
        <f aca="false">IF(OR(K66="",N66="",S66="Voided / Rescinded"),0,K66)</f>
        <v>0</v>
      </c>
      <c r="U66" s="12"/>
    </row>
    <row r="67" customFormat="false" ht="15" hidden="false" customHeight="false" outlineLevel="0" collapsed="false">
      <c r="A67" s="37"/>
      <c r="B67" s="38"/>
      <c r="C67" s="37"/>
      <c r="D67" s="31" t="str">
        <f aca="false">IF($C67="","",IFERROR(INDEX(Employee_Master!$B$5:$B$104,MATCH($C67,Employee_Master!$A$5:$A$104,0)),"ID not found"))</f>
        <v/>
      </c>
      <c r="E67" s="31" t="str">
        <f aca="false">IF($C67="","",IFERROR(INDEX(Employee_Master!$C$5:$C$104,MATCH($C67,Employee_Master!$A$5:$A$104,0)),"ID not found"))</f>
        <v/>
      </c>
      <c r="F67" s="37"/>
      <c r="G67" s="37"/>
      <c r="H67" s="37"/>
      <c r="I67" s="12"/>
      <c r="J67" s="37"/>
      <c r="K67" s="31" t="str">
        <f aca="false">IF(J67="","",IFERROR(INDEX(Reference_Data!$T$5:$T$14,MATCH(J67,Reference_Data!$S$5:$S$14,0)),0))</f>
        <v/>
      </c>
      <c r="L67" s="38"/>
      <c r="M67" s="38"/>
      <c r="N67" s="38"/>
      <c r="O67" s="37"/>
      <c r="P67" s="37"/>
      <c r="Q67" s="37"/>
      <c r="R67" s="38"/>
      <c r="S67" s="37"/>
      <c r="T67" s="31" t="n">
        <f aca="false">IF(OR(K67="",N67="",S67="Voided / Rescinded"),0,K67)</f>
        <v>0</v>
      </c>
      <c r="U67" s="12"/>
    </row>
    <row r="68" customFormat="false" ht="15" hidden="false" customHeight="false" outlineLevel="0" collapsed="false">
      <c r="A68" s="37"/>
      <c r="B68" s="38"/>
      <c r="C68" s="37"/>
      <c r="D68" s="31" t="str">
        <f aca="false">IF($C68="","",IFERROR(INDEX(Employee_Master!$B$5:$B$104,MATCH($C68,Employee_Master!$A$5:$A$104,0)),"ID not found"))</f>
        <v/>
      </c>
      <c r="E68" s="31" t="str">
        <f aca="false">IF($C68="","",IFERROR(INDEX(Employee_Master!$C$5:$C$104,MATCH($C68,Employee_Master!$A$5:$A$104,0)),"ID not found"))</f>
        <v/>
      </c>
      <c r="F68" s="37"/>
      <c r="G68" s="37"/>
      <c r="H68" s="37"/>
      <c r="I68" s="12"/>
      <c r="J68" s="37"/>
      <c r="K68" s="31" t="str">
        <f aca="false">IF(J68="","",IFERROR(INDEX(Reference_Data!$T$5:$T$14,MATCH(J68,Reference_Data!$S$5:$S$14,0)),0))</f>
        <v/>
      </c>
      <c r="L68" s="38"/>
      <c r="M68" s="38"/>
      <c r="N68" s="38"/>
      <c r="O68" s="37"/>
      <c r="P68" s="37"/>
      <c r="Q68" s="37"/>
      <c r="R68" s="38"/>
      <c r="S68" s="37"/>
      <c r="T68" s="31" t="n">
        <f aca="false">IF(OR(K68="",N68="",S68="Voided / Rescinded"),0,K68)</f>
        <v>0</v>
      </c>
      <c r="U68" s="12"/>
    </row>
    <row r="69" customFormat="false" ht="15" hidden="false" customHeight="false" outlineLevel="0" collapsed="false">
      <c r="A69" s="37"/>
      <c r="B69" s="38"/>
      <c r="C69" s="37"/>
      <c r="D69" s="31" t="str">
        <f aca="false">IF($C69="","",IFERROR(INDEX(Employee_Master!$B$5:$B$104,MATCH($C69,Employee_Master!$A$5:$A$104,0)),"ID not found"))</f>
        <v/>
      </c>
      <c r="E69" s="31" t="str">
        <f aca="false">IF($C69="","",IFERROR(INDEX(Employee_Master!$C$5:$C$104,MATCH($C69,Employee_Master!$A$5:$A$104,0)),"ID not found"))</f>
        <v/>
      </c>
      <c r="F69" s="37"/>
      <c r="G69" s="37"/>
      <c r="H69" s="37"/>
      <c r="I69" s="12"/>
      <c r="J69" s="37"/>
      <c r="K69" s="31" t="str">
        <f aca="false">IF(J69="","",IFERROR(INDEX(Reference_Data!$T$5:$T$14,MATCH(J69,Reference_Data!$S$5:$S$14,0)),0))</f>
        <v/>
      </c>
      <c r="L69" s="38"/>
      <c r="M69" s="38"/>
      <c r="N69" s="38"/>
      <c r="O69" s="37"/>
      <c r="P69" s="37"/>
      <c r="Q69" s="37"/>
      <c r="R69" s="38"/>
      <c r="S69" s="37"/>
      <c r="T69" s="31" t="n">
        <f aca="false">IF(OR(K69="",N69="",S69="Voided / Rescinded"),0,K69)</f>
        <v>0</v>
      </c>
      <c r="U69" s="12"/>
    </row>
    <row r="70" customFormat="false" ht="15" hidden="false" customHeight="false" outlineLevel="0" collapsed="false">
      <c r="A70" s="37"/>
      <c r="B70" s="38"/>
      <c r="C70" s="37"/>
      <c r="D70" s="31" t="str">
        <f aca="false">IF($C70="","",IFERROR(INDEX(Employee_Master!$B$5:$B$104,MATCH($C70,Employee_Master!$A$5:$A$104,0)),"ID not found"))</f>
        <v/>
      </c>
      <c r="E70" s="31" t="str">
        <f aca="false">IF($C70="","",IFERROR(INDEX(Employee_Master!$C$5:$C$104,MATCH($C70,Employee_Master!$A$5:$A$104,0)),"ID not found"))</f>
        <v/>
      </c>
      <c r="F70" s="37"/>
      <c r="G70" s="37"/>
      <c r="H70" s="37"/>
      <c r="I70" s="12"/>
      <c r="J70" s="37"/>
      <c r="K70" s="31" t="str">
        <f aca="false">IF(J70="","",IFERROR(INDEX(Reference_Data!$T$5:$T$14,MATCH(J70,Reference_Data!$S$5:$S$14,0)),0))</f>
        <v/>
      </c>
      <c r="L70" s="38"/>
      <c r="M70" s="38"/>
      <c r="N70" s="38"/>
      <c r="O70" s="37"/>
      <c r="P70" s="37"/>
      <c r="Q70" s="37"/>
      <c r="R70" s="38"/>
      <c r="S70" s="37"/>
      <c r="T70" s="31" t="n">
        <f aca="false">IF(OR(K70="",N70="",S70="Voided / Rescinded"),0,K70)</f>
        <v>0</v>
      </c>
      <c r="U70" s="12"/>
    </row>
    <row r="71" customFormat="false" ht="15" hidden="false" customHeight="false" outlineLevel="0" collapsed="false">
      <c r="A71" s="37"/>
      <c r="B71" s="38"/>
      <c r="C71" s="37"/>
      <c r="D71" s="31" t="str">
        <f aca="false">IF($C71="","",IFERROR(INDEX(Employee_Master!$B$5:$B$104,MATCH($C71,Employee_Master!$A$5:$A$104,0)),"ID not found"))</f>
        <v/>
      </c>
      <c r="E71" s="31" t="str">
        <f aca="false">IF($C71="","",IFERROR(INDEX(Employee_Master!$C$5:$C$104,MATCH($C71,Employee_Master!$A$5:$A$104,0)),"ID not found"))</f>
        <v/>
      </c>
      <c r="F71" s="37"/>
      <c r="G71" s="37"/>
      <c r="H71" s="37"/>
      <c r="I71" s="12"/>
      <c r="J71" s="37"/>
      <c r="K71" s="31" t="str">
        <f aca="false">IF(J71="","",IFERROR(INDEX(Reference_Data!$T$5:$T$14,MATCH(J71,Reference_Data!$S$5:$S$14,0)),0))</f>
        <v/>
      </c>
      <c r="L71" s="38"/>
      <c r="M71" s="38"/>
      <c r="N71" s="38"/>
      <c r="O71" s="37"/>
      <c r="P71" s="37"/>
      <c r="Q71" s="37"/>
      <c r="R71" s="38"/>
      <c r="S71" s="37"/>
      <c r="T71" s="31" t="n">
        <f aca="false">IF(OR(K71="",N71="",S71="Voided / Rescinded"),0,K71)</f>
        <v>0</v>
      </c>
      <c r="U71" s="12"/>
    </row>
    <row r="72" customFormat="false" ht="15" hidden="false" customHeight="false" outlineLevel="0" collapsed="false">
      <c r="A72" s="37"/>
      <c r="B72" s="38"/>
      <c r="C72" s="37"/>
      <c r="D72" s="31" t="str">
        <f aca="false">IF($C72="","",IFERROR(INDEX(Employee_Master!$B$5:$B$104,MATCH($C72,Employee_Master!$A$5:$A$104,0)),"ID not found"))</f>
        <v/>
      </c>
      <c r="E72" s="31" t="str">
        <f aca="false">IF($C72="","",IFERROR(INDEX(Employee_Master!$C$5:$C$104,MATCH($C72,Employee_Master!$A$5:$A$104,0)),"ID not found"))</f>
        <v/>
      </c>
      <c r="F72" s="37"/>
      <c r="G72" s="37"/>
      <c r="H72" s="37"/>
      <c r="I72" s="12"/>
      <c r="J72" s="37"/>
      <c r="K72" s="31" t="str">
        <f aca="false">IF(J72="","",IFERROR(INDEX(Reference_Data!$T$5:$T$14,MATCH(J72,Reference_Data!$S$5:$S$14,0)),0))</f>
        <v/>
      </c>
      <c r="L72" s="38"/>
      <c r="M72" s="38"/>
      <c r="N72" s="38"/>
      <c r="O72" s="37"/>
      <c r="P72" s="37"/>
      <c r="Q72" s="37"/>
      <c r="R72" s="38"/>
      <c r="S72" s="37"/>
      <c r="T72" s="31" t="n">
        <f aca="false">IF(OR(K72="",N72="",S72="Voided / Rescinded"),0,K72)</f>
        <v>0</v>
      </c>
      <c r="U72" s="12"/>
    </row>
    <row r="73" customFormat="false" ht="15" hidden="false" customHeight="false" outlineLevel="0" collapsed="false">
      <c r="A73" s="37"/>
      <c r="B73" s="38"/>
      <c r="C73" s="37"/>
      <c r="D73" s="31" t="str">
        <f aca="false">IF($C73="","",IFERROR(INDEX(Employee_Master!$B$5:$B$104,MATCH($C73,Employee_Master!$A$5:$A$104,0)),"ID not found"))</f>
        <v/>
      </c>
      <c r="E73" s="31" t="str">
        <f aca="false">IF($C73="","",IFERROR(INDEX(Employee_Master!$C$5:$C$104,MATCH($C73,Employee_Master!$A$5:$A$104,0)),"ID not found"))</f>
        <v/>
      </c>
      <c r="F73" s="37"/>
      <c r="G73" s="37"/>
      <c r="H73" s="37"/>
      <c r="I73" s="12"/>
      <c r="J73" s="37"/>
      <c r="K73" s="31" t="str">
        <f aca="false">IF(J73="","",IFERROR(INDEX(Reference_Data!$T$5:$T$14,MATCH(J73,Reference_Data!$S$5:$S$14,0)),0))</f>
        <v/>
      </c>
      <c r="L73" s="38"/>
      <c r="M73" s="38"/>
      <c r="N73" s="38"/>
      <c r="O73" s="37"/>
      <c r="P73" s="37"/>
      <c r="Q73" s="37"/>
      <c r="R73" s="38"/>
      <c r="S73" s="37"/>
      <c r="T73" s="31" t="n">
        <f aca="false">IF(OR(K73="",N73="",S73="Voided / Rescinded"),0,K73)</f>
        <v>0</v>
      </c>
      <c r="U73" s="12"/>
    </row>
    <row r="74" customFormat="false" ht="15" hidden="false" customHeight="false" outlineLevel="0" collapsed="false">
      <c r="A74" s="37"/>
      <c r="B74" s="38"/>
      <c r="C74" s="37"/>
      <c r="D74" s="31" t="str">
        <f aca="false">IF($C74="","",IFERROR(INDEX(Employee_Master!$B$5:$B$104,MATCH($C74,Employee_Master!$A$5:$A$104,0)),"ID not found"))</f>
        <v/>
      </c>
      <c r="E74" s="31" t="str">
        <f aca="false">IF($C74="","",IFERROR(INDEX(Employee_Master!$C$5:$C$104,MATCH($C74,Employee_Master!$A$5:$A$104,0)),"ID not found"))</f>
        <v/>
      </c>
      <c r="F74" s="37"/>
      <c r="G74" s="37"/>
      <c r="H74" s="37"/>
      <c r="I74" s="12"/>
      <c r="J74" s="37"/>
      <c r="K74" s="31" t="str">
        <f aca="false">IF(J74="","",IFERROR(INDEX(Reference_Data!$T$5:$T$14,MATCH(J74,Reference_Data!$S$5:$S$14,0)),0))</f>
        <v/>
      </c>
      <c r="L74" s="38"/>
      <c r="M74" s="38"/>
      <c r="N74" s="38"/>
      <c r="O74" s="37"/>
      <c r="P74" s="37"/>
      <c r="Q74" s="37"/>
      <c r="R74" s="38"/>
      <c r="S74" s="37"/>
      <c r="T74" s="31" t="n">
        <f aca="false">IF(OR(K74="",N74="",S74="Voided / Rescinded"),0,K74)</f>
        <v>0</v>
      </c>
      <c r="U74" s="12"/>
    </row>
    <row r="75" customFormat="false" ht="15" hidden="false" customHeight="false" outlineLevel="0" collapsed="false">
      <c r="A75" s="37"/>
      <c r="B75" s="38"/>
      <c r="C75" s="37"/>
      <c r="D75" s="31" t="str">
        <f aca="false">IF($C75="","",IFERROR(INDEX(Employee_Master!$B$5:$B$104,MATCH($C75,Employee_Master!$A$5:$A$104,0)),"ID not found"))</f>
        <v/>
      </c>
      <c r="E75" s="31" t="str">
        <f aca="false">IF($C75="","",IFERROR(INDEX(Employee_Master!$C$5:$C$104,MATCH($C75,Employee_Master!$A$5:$A$104,0)),"ID not found"))</f>
        <v/>
      </c>
      <c r="F75" s="37"/>
      <c r="G75" s="37"/>
      <c r="H75" s="37"/>
      <c r="I75" s="12"/>
      <c r="J75" s="37"/>
      <c r="K75" s="31" t="str">
        <f aca="false">IF(J75="","",IFERROR(INDEX(Reference_Data!$T$5:$T$14,MATCH(J75,Reference_Data!$S$5:$S$14,0)),0))</f>
        <v/>
      </c>
      <c r="L75" s="38"/>
      <c r="M75" s="38"/>
      <c r="N75" s="38"/>
      <c r="O75" s="37"/>
      <c r="P75" s="37"/>
      <c r="Q75" s="37"/>
      <c r="R75" s="38"/>
      <c r="S75" s="37"/>
      <c r="T75" s="31" t="n">
        <f aca="false">IF(OR(K75="",N75="",S75="Voided / Rescinded"),0,K75)</f>
        <v>0</v>
      </c>
      <c r="U75" s="12"/>
    </row>
    <row r="76" customFormat="false" ht="15" hidden="false" customHeight="false" outlineLevel="0" collapsed="false">
      <c r="A76" s="37"/>
      <c r="B76" s="38"/>
      <c r="C76" s="37"/>
      <c r="D76" s="31" t="str">
        <f aca="false">IF($C76="","",IFERROR(INDEX(Employee_Master!$B$5:$B$104,MATCH($C76,Employee_Master!$A$5:$A$104,0)),"ID not found"))</f>
        <v/>
      </c>
      <c r="E76" s="31" t="str">
        <f aca="false">IF($C76="","",IFERROR(INDEX(Employee_Master!$C$5:$C$104,MATCH($C76,Employee_Master!$A$5:$A$104,0)),"ID not found"))</f>
        <v/>
      </c>
      <c r="F76" s="37"/>
      <c r="G76" s="37"/>
      <c r="H76" s="37"/>
      <c r="I76" s="12"/>
      <c r="J76" s="37"/>
      <c r="K76" s="31" t="str">
        <f aca="false">IF(J76="","",IFERROR(INDEX(Reference_Data!$T$5:$T$14,MATCH(J76,Reference_Data!$S$5:$S$14,0)),0))</f>
        <v/>
      </c>
      <c r="L76" s="38"/>
      <c r="M76" s="38"/>
      <c r="N76" s="38"/>
      <c r="O76" s="37"/>
      <c r="P76" s="37"/>
      <c r="Q76" s="37"/>
      <c r="R76" s="38"/>
      <c r="S76" s="37"/>
      <c r="T76" s="31" t="n">
        <f aca="false">IF(OR(K76="",N76="",S76="Voided / Rescinded"),0,K76)</f>
        <v>0</v>
      </c>
      <c r="U76" s="12"/>
    </row>
    <row r="77" customFormat="false" ht="15" hidden="false" customHeight="false" outlineLevel="0" collapsed="false">
      <c r="A77" s="37"/>
      <c r="B77" s="38"/>
      <c r="C77" s="37"/>
      <c r="D77" s="31" t="str">
        <f aca="false">IF($C77="","",IFERROR(INDEX(Employee_Master!$B$5:$B$104,MATCH($C77,Employee_Master!$A$5:$A$104,0)),"ID not found"))</f>
        <v/>
      </c>
      <c r="E77" s="31" t="str">
        <f aca="false">IF($C77="","",IFERROR(INDEX(Employee_Master!$C$5:$C$104,MATCH($C77,Employee_Master!$A$5:$A$104,0)),"ID not found"))</f>
        <v/>
      </c>
      <c r="F77" s="37"/>
      <c r="G77" s="37"/>
      <c r="H77" s="37"/>
      <c r="I77" s="12"/>
      <c r="J77" s="37"/>
      <c r="K77" s="31" t="str">
        <f aca="false">IF(J77="","",IFERROR(INDEX(Reference_Data!$T$5:$T$14,MATCH(J77,Reference_Data!$S$5:$S$14,0)),0))</f>
        <v/>
      </c>
      <c r="L77" s="38"/>
      <c r="M77" s="38"/>
      <c r="N77" s="38"/>
      <c r="O77" s="37"/>
      <c r="P77" s="37"/>
      <c r="Q77" s="37"/>
      <c r="R77" s="38"/>
      <c r="S77" s="37"/>
      <c r="T77" s="31" t="n">
        <f aca="false">IF(OR(K77="",N77="",S77="Voided / Rescinded"),0,K77)</f>
        <v>0</v>
      </c>
      <c r="U77" s="12"/>
    </row>
    <row r="78" customFormat="false" ht="15" hidden="false" customHeight="false" outlineLevel="0" collapsed="false">
      <c r="A78" s="37"/>
      <c r="B78" s="38"/>
      <c r="C78" s="37"/>
      <c r="D78" s="31" t="str">
        <f aca="false">IF($C78="","",IFERROR(INDEX(Employee_Master!$B$5:$B$104,MATCH($C78,Employee_Master!$A$5:$A$104,0)),"ID not found"))</f>
        <v/>
      </c>
      <c r="E78" s="31" t="str">
        <f aca="false">IF($C78="","",IFERROR(INDEX(Employee_Master!$C$5:$C$104,MATCH($C78,Employee_Master!$A$5:$A$104,0)),"ID not found"))</f>
        <v/>
      </c>
      <c r="F78" s="37"/>
      <c r="G78" s="37"/>
      <c r="H78" s="37"/>
      <c r="I78" s="12"/>
      <c r="J78" s="37"/>
      <c r="K78" s="31" t="str">
        <f aca="false">IF(J78="","",IFERROR(INDEX(Reference_Data!$T$5:$T$14,MATCH(J78,Reference_Data!$S$5:$S$14,0)),0))</f>
        <v/>
      </c>
      <c r="L78" s="38"/>
      <c r="M78" s="38"/>
      <c r="N78" s="38"/>
      <c r="O78" s="37"/>
      <c r="P78" s="37"/>
      <c r="Q78" s="37"/>
      <c r="R78" s="38"/>
      <c r="S78" s="37"/>
      <c r="T78" s="31" t="n">
        <f aca="false">IF(OR(K78="",N78="",S78="Voided / Rescinded"),0,K78)</f>
        <v>0</v>
      </c>
      <c r="U78" s="12"/>
    </row>
    <row r="79" customFormat="false" ht="15" hidden="false" customHeight="false" outlineLevel="0" collapsed="false">
      <c r="A79" s="37"/>
      <c r="B79" s="38"/>
      <c r="C79" s="37"/>
      <c r="D79" s="31" t="str">
        <f aca="false">IF($C79="","",IFERROR(INDEX(Employee_Master!$B$5:$B$104,MATCH($C79,Employee_Master!$A$5:$A$104,0)),"ID not found"))</f>
        <v/>
      </c>
      <c r="E79" s="31" t="str">
        <f aca="false">IF($C79="","",IFERROR(INDEX(Employee_Master!$C$5:$C$104,MATCH($C79,Employee_Master!$A$5:$A$104,0)),"ID not found"))</f>
        <v/>
      </c>
      <c r="F79" s="37"/>
      <c r="G79" s="37"/>
      <c r="H79" s="37"/>
      <c r="I79" s="12"/>
      <c r="J79" s="37"/>
      <c r="K79" s="31" t="str">
        <f aca="false">IF(J79="","",IFERROR(INDEX(Reference_Data!$T$5:$T$14,MATCH(J79,Reference_Data!$S$5:$S$14,0)),0))</f>
        <v/>
      </c>
      <c r="L79" s="38"/>
      <c r="M79" s="38"/>
      <c r="N79" s="38"/>
      <c r="O79" s="37"/>
      <c r="P79" s="37"/>
      <c r="Q79" s="37"/>
      <c r="R79" s="38"/>
      <c r="S79" s="37"/>
      <c r="T79" s="31" t="n">
        <f aca="false">IF(OR(K79="",N79="",S79="Voided / Rescinded"),0,K79)</f>
        <v>0</v>
      </c>
      <c r="U79" s="12"/>
    </row>
    <row r="80" customFormat="false" ht="15" hidden="false" customHeight="false" outlineLevel="0" collapsed="false">
      <c r="A80" s="37"/>
      <c r="B80" s="38"/>
      <c r="C80" s="37"/>
      <c r="D80" s="31" t="str">
        <f aca="false">IF($C80="","",IFERROR(INDEX(Employee_Master!$B$5:$B$104,MATCH($C80,Employee_Master!$A$5:$A$104,0)),"ID not found"))</f>
        <v/>
      </c>
      <c r="E80" s="31" t="str">
        <f aca="false">IF($C80="","",IFERROR(INDEX(Employee_Master!$C$5:$C$104,MATCH($C80,Employee_Master!$A$5:$A$104,0)),"ID not found"))</f>
        <v/>
      </c>
      <c r="F80" s="37"/>
      <c r="G80" s="37"/>
      <c r="H80" s="37"/>
      <c r="I80" s="12"/>
      <c r="J80" s="37"/>
      <c r="K80" s="31" t="str">
        <f aca="false">IF(J80="","",IFERROR(INDEX(Reference_Data!$T$5:$T$14,MATCH(J80,Reference_Data!$S$5:$S$14,0)),0))</f>
        <v/>
      </c>
      <c r="L80" s="38"/>
      <c r="M80" s="38"/>
      <c r="N80" s="38"/>
      <c r="O80" s="37"/>
      <c r="P80" s="37"/>
      <c r="Q80" s="37"/>
      <c r="R80" s="38"/>
      <c r="S80" s="37"/>
      <c r="T80" s="31" t="n">
        <f aca="false">IF(OR(K80="",N80="",S80="Voided / Rescinded"),0,K80)</f>
        <v>0</v>
      </c>
      <c r="U80" s="12"/>
    </row>
    <row r="81" customFormat="false" ht="15" hidden="false" customHeight="false" outlineLevel="0" collapsed="false">
      <c r="A81" s="37"/>
      <c r="B81" s="38"/>
      <c r="C81" s="37"/>
      <c r="D81" s="31" t="str">
        <f aca="false">IF($C81="","",IFERROR(INDEX(Employee_Master!$B$5:$B$104,MATCH($C81,Employee_Master!$A$5:$A$104,0)),"ID not found"))</f>
        <v/>
      </c>
      <c r="E81" s="31" t="str">
        <f aca="false">IF($C81="","",IFERROR(INDEX(Employee_Master!$C$5:$C$104,MATCH($C81,Employee_Master!$A$5:$A$104,0)),"ID not found"))</f>
        <v/>
      </c>
      <c r="F81" s="37"/>
      <c r="G81" s="37"/>
      <c r="H81" s="37"/>
      <c r="I81" s="12"/>
      <c r="J81" s="37"/>
      <c r="K81" s="31" t="str">
        <f aca="false">IF(J81="","",IFERROR(INDEX(Reference_Data!$T$5:$T$14,MATCH(J81,Reference_Data!$S$5:$S$14,0)),0))</f>
        <v/>
      </c>
      <c r="L81" s="38"/>
      <c r="M81" s="38"/>
      <c r="N81" s="38"/>
      <c r="O81" s="37"/>
      <c r="P81" s="37"/>
      <c r="Q81" s="37"/>
      <c r="R81" s="38"/>
      <c r="S81" s="37"/>
      <c r="T81" s="31" t="n">
        <f aca="false">IF(OR(K81="",N81="",S81="Voided / Rescinded"),0,K81)</f>
        <v>0</v>
      </c>
      <c r="U81" s="12"/>
    </row>
    <row r="82" customFormat="false" ht="15" hidden="false" customHeight="false" outlineLevel="0" collapsed="false">
      <c r="A82" s="37"/>
      <c r="B82" s="38"/>
      <c r="C82" s="37"/>
      <c r="D82" s="31" t="str">
        <f aca="false">IF($C82="","",IFERROR(INDEX(Employee_Master!$B$5:$B$104,MATCH($C82,Employee_Master!$A$5:$A$104,0)),"ID not found"))</f>
        <v/>
      </c>
      <c r="E82" s="31" t="str">
        <f aca="false">IF($C82="","",IFERROR(INDEX(Employee_Master!$C$5:$C$104,MATCH($C82,Employee_Master!$A$5:$A$104,0)),"ID not found"))</f>
        <v/>
      </c>
      <c r="F82" s="37"/>
      <c r="G82" s="37"/>
      <c r="H82" s="37"/>
      <c r="I82" s="12"/>
      <c r="J82" s="37"/>
      <c r="K82" s="31" t="str">
        <f aca="false">IF(J82="","",IFERROR(INDEX(Reference_Data!$T$5:$T$14,MATCH(J82,Reference_Data!$S$5:$S$14,0)),0))</f>
        <v/>
      </c>
      <c r="L82" s="38"/>
      <c r="M82" s="38"/>
      <c r="N82" s="38"/>
      <c r="O82" s="37"/>
      <c r="P82" s="37"/>
      <c r="Q82" s="37"/>
      <c r="R82" s="38"/>
      <c r="S82" s="37"/>
      <c r="T82" s="31" t="n">
        <f aca="false">IF(OR(K82="",N82="",S82="Voided / Rescinded"),0,K82)</f>
        <v>0</v>
      </c>
      <c r="U82" s="12"/>
    </row>
    <row r="83" customFormat="false" ht="15" hidden="false" customHeight="false" outlineLevel="0" collapsed="false">
      <c r="A83" s="37"/>
      <c r="B83" s="38"/>
      <c r="C83" s="37"/>
      <c r="D83" s="31" t="str">
        <f aca="false">IF($C83="","",IFERROR(INDEX(Employee_Master!$B$5:$B$104,MATCH($C83,Employee_Master!$A$5:$A$104,0)),"ID not found"))</f>
        <v/>
      </c>
      <c r="E83" s="31" t="str">
        <f aca="false">IF($C83="","",IFERROR(INDEX(Employee_Master!$C$5:$C$104,MATCH($C83,Employee_Master!$A$5:$A$104,0)),"ID not found"))</f>
        <v/>
      </c>
      <c r="F83" s="37"/>
      <c r="G83" s="37"/>
      <c r="H83" s="37"/>
      <c r="I83" s="12"/>
      <c r="J83" s="37"/>
      <c r="K83" s="31" t="str">
        <f aca="false">IF(J83="","",IFERROR(INDEX(Reference_Data!$T$5:$T$14,MATCH(J83,Reference_Data!$S$5:$S$14,0)),0))</f>
        <v/>
      </c>
      <c r="L83" s="38"/>
      <c r="M83" s="38"/>
      <c r="N83" s="38"/>
      <c r="O83" s="37"/>
      <c r="P83" s="37"/>
      <c r="Q83" s="37"/>
      <c r="R83" s="38"/>
      <c r="S83" s="37"/>
      <c r="T83" s="31" t="n">
        <f aca="false">IF(OR(K83="",N83="",S83="Voided / Rescinded"),0,K83)</f>
        <v>0</v>
      </c>
      <c r="U83" s="12"/>
    </row>
    <row r="84" customFormat="false" ht="15" hidden="false" customHeight="false" outlineLevel="0" collapsed="false">
      <c r="A84" s="37"/>
      <c r="B84" s="38"/>
      <c r="C84" s="37"/>
      <c r="D84" s="31" t="str">
        <f aca="false">IF($C84="","",IFERROR(INDEX(Employee_Master!$B$5:$B$104,MATCH($C84,Employee_Master!$A$5:$A$104,0)),"ID not found"))</f>
        <v/>
      </c>
      <c r="E84" s="31" t="str">
        <f aca="false">IF($C84="","",IFERROR(INDEX(Employee_Master!$C$5:$C$104,MATCH($C84,Employee_Master!$A$5:$A$104,0)),"ID not found"))</f>
        <v/>
      </c>
      <c r="F84" s="37"/>
      <c r="G84" s="37"/>
      <c r="H84" s="37"/>
      <c r="I84" s="12"/>
      <c r="J84" s="37"/>
      <c r="K84" s="31" t="str">
        <f aca="false">IF(J84="","",IFERROR(INDEX(Reference_Data!$T$5:$T$14,MATCH(J84,Reference_Data!$S$5:$S$14,0)),0))</f>
        <v/>
      </c>
      <c r="L84" s="38"/>
      <c r="M84" s="38"/>
      <c r="N84" s="38"/>
      <c r="O84" s="37"/>
      <c r="P84" s="37"/>
      <c r="Q84" s="37"/>
      <c r="R84" s="38"/>
      <c r="S84" s="37"/>
      <c r="T84" s="31" t="n">
        <f aca="false">IF(OR(K84="",N84="",S84="Voided / Rescinded"),0,K84)</f>
        <v>0</v>
      </c>
      <c r="U84" s="12"/>
    </row>
    <row r="85" customFormat="false" ht="15" hidden="false" customHeight="false" outlineLevel="0" collapsed="false">
      <c r="A85" s="37"/>
      <c r="B85" s="38"/>
      <c r="C85" s="37"/>
      <c r="D85" s="31" t="str">
        <f aca="false">IF($C85="","",IFERROR(INDEX(Employee_Master!$B$5:$B$104,MATCH($C85,Employee_Master!$A$5:$A$104,0)),"ID not found"))</f>
        <v/>
      </c>
      <c r="E85" s="31" t="str">
        <f aca="false">IF($C85="","",IFERROR(INDEX(Employee_Master!$C$5:$C$104,MATCH($C85,Employee_Master!$A$5:$A$104,0)),"ID not found"))</f>
        <v/>
      </c>
      <c r="F85" s="37"/>
      <c r="G85" s="37"/>
      <c r="H85" s="37"/>
      <c r="I85" s="12"/>
      <c r="J85" s="37"/>
      <c r="K85" s="31" t="str">
        <f aca="false">IF(J85="","",IFERROR(INDEX(Reference_Data!$T$5:$T$14,MATCH(J85,Reference_Data!$S$5:$S$14,0)),0))</f>
        <v/>
      </c>
      <c r="L85" s="38"/>
      <c r="M85" s="38"/>
      <c r="N85" s="38"/>
      <c r="O85" s="37"/>
      <c r="P85" s="37"/>
      <c r="Q85" s="37"/>
      <c r="R85" s="38"/>
      <c r="S85" s="37"/>
      <c r="T85" s="31" t="n">
        <f aca="false">IF(OR(K85="",N85="",S85="Voided / Rescinded"),0,K85)</f>
        <v>0</v>
      </c>
      <c r="U85" s="12"/>
    </row>
    <row r="86" customFormat="false" ht="15" hidden="false" customHeight="false" outlineLevel="0" collapsed="false">
      <c r="A86" s="37"/>
      <c r="B86" s="38"/>
      <c r="C86" s="37"/>
      <c r="D86" s="31" t="str">
        <f aca="false">IF($C86="","",IFERROR(INDEX(Employee_Master!$B$5:$B$104,MATCH($C86,Employee_Master!$A$5:$A$104,0)),"ID not found"))</f>
        <v/>
      </c>
      <c r="E86" s="31" t="str">
        <f aca="false">IF($C86="","",IFERROR(INDEX(Employee_Master!$C$5:$C$104,MATCH($C86,Employee_Master!$A$5:$A$104,0)),"ID not found"))</f>
        <v/>
      </c>
      <c r="F86" s="37"/>
      <c r="G86" s="37"/>
      <c r="H86" s="37"/>
      <c r="I86" s="12"/>
      <c r="J86" s="37"/>
      <c r="K86" s="31" t="str">
        <f aca="false">IF(J86="","",IFERROR(INDEX(Reference_Data!$T$5:$T$14,MATCH(J86,Reference_Data!$S$5:$S$14,0)),0))</f>
        <v/>
      </c>
      <c r="L86" s="38"/>
      <c r="M86" s="38"/>
      <c r="N86" s="38"/>
      <c r="O86" s="37"/>
      <c r="P86" s="37"/>
      <c r="Q86" s="37"/>
      <c r="R86" s="38"/>
      <c r="S86" s="37"/>
      <c r="T86" s="31" t="n">
        <f aca="false">IF(OR(K86="",N86="",S86="Voided / Rescinded"),0,K86)</f>
        <v>0</v>
      </c>
      <c r="U86" s="12"/>
    </row>
    <row r="87" customFormat="false" ht="15" hidden="false" customHeight="false" outlineLevel="0" collapsed="false">
      <c r="A87" s="37"/>
      <c r="B87" s="38"/>
      <c r="C87" s="37"/>
      <c r="D87" s="31" t="str">
        <f aca="false">IF($C87="","",IFERROR(INDEX(Employee_Master!$B$5:$B$104,MATCH($C87,Employee_Master!$A$5:$A$104,0)),"ID not found"))</f>
        <v/>
      </c>
      <c r="E87" s="31" t="str">
        <f aca="false">IF($C87="","",IFERROR(INDEX(Employee_Master!$C$5:$C$104,MATCH($C87,Employee_Master!$A$5:$A$104,0)),"ID not found"))</f>
        <v/>
      </c>
      <c r="F87" s="37"/>
      <c r="G87" s="37"/>
      <c r="H87" s="37"/>
      <c r="I87" s="12"/>
      <c r="J87" s="37"/>
      <c r="K87" s="31" t="str">
        <f aca="false">IF(J87="","",IFERROR(INDEX(Reference_Data!$T$5:$T$14,MATCH(J87,Reference_Data!$S$5:$S$14,0)),0))</f>
        <v/>
      </c>
      <c r="L87" s="38"/>
      <c r="M87" s="38"/>
      <c r="N87" s="38"/>
      <c r="O87" s="37"/>
      <c r="P87" s="37"/>
      <c r="Q87" s="37"/>
      <c r="R87" s="38"/>
      <c r="S87" s="37"/>
      <c r="T87" s="31" t="n">
        <f aca="false">IF(OR(K87="",N87="",S87="Voided / Rescinded"),0,K87)</f>
        <v>0</v>
      </c>
      <c r="U87" s="12"/>
    </row>
    <row r="88" customFormat="false" ht="15" hidden="false" customHeight="false" outlineLevel="0" collapsed="false">
      <c r="A88" s="37"/>
      <c r="B88" s="38"/>
      <c r="C88" s="37"/>
      <c r="D88" s="31" t="str">
        <f aca="false">IF($C88="","",IFERROR(INDEX(Employee_Master!$B$5:$B$104,MATCH($C88,Employee_Master!$A$5:$A$104,0)),"ID not found"))</f>
        <v/>
      </c>
      <c r="E88" s="31" t="str">
        <f aca="false">IF($C88="","",IFERROR(INDEX(Employee_Master!$C$5:$C$104,MATCH($C88,Employee_Master!$A$5:$A$104,0)),"ID not found"))</f>
        <v/>
      </c>
      <c r="F88" s="37"/>
      <c r="G88" s="37"/>
      <c r="H88" s="37"/>
      <c r="I88" s="12"/>
      <c r="J88" s="37"/>
      <c r="K88" s="31" t="str">
        <f aca="false">IF(J88="","",IFERROR(INDEX(Reference_Data!$T$5:$T$14,MATCH(J88,Reference_Data!$S$5:$S$14,0)),0))</f>
        <v/>
      </c>
      <c r="L88" s="38"/>
      <c r="M88" s="38"/>
      <c r="N88" s="38"/>
      <c r="O88" s="37"/>
      <c r="P88" s="37"/>
      <c r="Q88" s="37"/>
      <c r="R88" s="38"/>
      <c r="S88" s="37"/>
      <c r="T88" s="31" t="n">
        <f aca="false">IF(OR(K88="",N88="",S88="Voided / Rescinded"),0,K88)</f>
        <v>0</v>
      </c>
      <c r="U88" s="12"/>
    </row>
    <row r="89" customFormat="false" ht="15" hidden="false" customHeight="false" outlineLevel="0" collapsed="false">
      <c r="A89" s="37"/>
      <c r="B89" s="38"/>
      <c r="C89" s="37"/>
      <c r="D89" s="31" t="str">
        <f aca="false">IF($C89="","",IFERROR(INDEX(Employee_Master!$B$5:$B$104,MATCH($C89,Employee_Master!$A$5:$A$104,0)),"ID not found"))</f>
        <v/>
      </c>
      <c r="E89" s="31" t="str">
        <f aca="false">IF($C89="","",IFERROR(INDEX(Employee_Master!$C$5:$C$104,MATCH($C89,Employee_Master!$A$5:$A$104,0)),"ID not found"))</f>
        <v/>
      </c>
      <c r="F89" s="37"/>
      <c r="G89" s="37"/>
      <c r="H89" s="37"/>
      <c r="I89" s="12"/>
      <c r="J89" s="37"/>
      <c r="K89" s="31" t="str">
        <f aca="false">IF(J89="","",IFERROR(INDEX(Reference_Data!$T$5:$T$14,MATCH(J89,Reference_Data!$S$5:$S$14,0)),0))</f>
        <v/>
      </c>
      <c r="L89" s="38"/>
      <c r="M89" s="38"/>
      <c r="N89" s="38"/>
      <c r="O89" s="37"/>
      <c r="P89" s="37"/>
      <c r="Q89" s="37"/>
      <c r="R89" s="38"/>
      <c r="S89" s="37"/>
      <c r="T89" s="31" t="n">
        <f aca="false">IF(OR(K89="",N89="",S89="Voided / Rescinded"),0,K89)</f>
        <v>0</v>
      </c>
      <c r="U89" s="12"/>
    </row>
    <row r="90" customFormat="false" ht="15" hidden="false" customHeight="false" outlineLevel="0" collapsed="false">
      <c r="A90" s="37"/>
      <c r="B90" s="38"/>
      <c r="C90" s="37"/>
      <c r="D90" s="31" t="str">
        <f aca="false">IF($C90="","",IFERROR(INDEX(Employee_Master!$B$5:$B$104,MATCH($C90,Employee_Master!$A$5:$A$104,0)),"ID not found"))</f>
        <v/>
      </c>
      <c r="E90" s="31" t="str">
        <f aca="false">IF($C90="","",IFERROR(INDEX(Employee_Master!$C$5:$C$104,MATCH($C90,Employee_Master!$A$5:$A$104,0)),"ID not found"))</f>
        <v/>
      </c>
      <c r="F90" s="37"/>
      <c r="G90" s="37"/>
      <c r="H90" s="37"/>
      <c r="I90" s="12"/>
      <c r="J90" s="37"/>
      <c r="K90" s="31" t="str">
        <f aca="false">IF(J90="","",IFERROR(INDEX(Reference_Data!$T$5:$T$14,MATCH(J90,Reference_Data!$S$5:$S$14,0)),0))</f>
        <v/>
      </c>
      <c r="L90" s="38"/>
      <c r="M90" s="38"/>
      <c r="N90" s="38"/>
      <c r="O90" s="37"/>
      <c r="P90" s="37"/>
      <c r="Q90" s="37"/>
      <c r="R90" s="38"/>
      <c r="S90" s="37"/>
      <c r="T90" s="31" t="n">
        <f aca="false">IF(OR(K90="",N90="",S90="Voided / Rescinded"),0,K90)</f>
        <v>0</v>
      </c>
      <c r="U90" s="12"/>
    </row>
    <row r="91" customFormat="false" ht="15" hidden="false" customHeight="false" outlineLevel="0" collapsed="false">
      <c r="A91" s="37"/>
      <c r="B91" s="38"/>
      <c r="C91" s="37"/>
      <c r="D91" s="31" t="str">
        <f aca="false">IF($C91="","",IFERROR(INDEX(Employee_Master!$B$5:$B$104,MATCH($C91,Employee_Master!$A$5:$A$104,0)),"ID not found"))</f>
        <v/>
      </c>
      <c r="E91" s="31" t="str">
        <f aca="false">IF($C91="","",IFERROR(INDEX(Employee_Master!$C$5:$C$104,MATCH($C91,Employee_Master!$A$5:$A$104,0)),"ID not found"))</f>
        <v/>
      </c>
      <c r="F91" s="37"/>
      <c r="G91" s="37"/>
      <c r="H91" s="37"/>
      <c r="I91" s="12"/>
      <c r="J91" s="37"/>
      <c r="K91" s="31" t="str">
        <f aca="false">IF(J91="","",IFERROR(INDEX(Reference_Data!$T$5:$T$14,MATCH(J91,Reference_Data!$S$5:$S$14,0)),0))</f>
        <v/>
      </c>
      <c r="L91" s="38"/>
      <c r="M91" s="38"/>
      <c r="N91" s="38"/>
      <c r="O91" s="37"/>
      <c r="P91" s="37"/>
      <c r="Q91" s="37"/>
      <c r="R91" s="38"/>
      <c r="S91" s="37"/>
      <c r="T91" s="31" t="n">
        <f aca="false">IF(OR(K91="",N91="",S91="Voided / Rescinded"),0,K91)</f>
        <v>0</v>
      </c>
      <c r="U91" s="12"/>
    </row>
    <row r="92" customFormat="false" ht="15" hidden="false" customHeight="false" outlineLevel="0" collapsed="false">
      <c r="A92" s="37"/>
      <c r="B92" s="38"/>
      <c r="C92" s="37"/>
      <c r="D92" s="31" t="str">
        <f aca="false">IF($C92="","",IFERROR(INDEX(Employee_Master!$B$5:$B$104,MATCH($C92,Employee_Master!$A$5:$A$104,0)),"ID not found"))</f>
        <v/>
      </c>
      <c r="E92" s="31" t="str">
        <f aca="false">IF($C92="","",IFERROR(INDEX(Employee_Master!$C$5:$C$104,MATCH($C92,Employee_Master!$A$5:$A$104,0)),"ID not found"))</f>
        <v/>
      </c>
      <c r="F92" s="37"/>
      <c r="G92" s="37"/>
      <c r="H92" s="37"/>
      <c r="I92" s="12"/>
      <c r="J92" s="37"/>
      <c r="K92" s="31" t="str">
        <f aca="false">IF(J92="","",IFERROR(INDEX(Reference_Data!$T$5:$T$14,MATCH(J92,Reference_Data!$S$5:$S$14,0)),0))</f>
        <v/>
      </c>
      <c r="L92" s="38"/>
      <c r="M92" s="38"/>
      <c r="N92" s="38"/>
      <c r="O92" s="37"/>
      <c r="P92" s="37"/>
      <c r="Q92" s="37"/>
      <c r="R92" s="38"/>
      <c r="S92" s="37"/>
      <c r="T92" s="31" t="n">
        <f aca="false">IF(OR(K92="",N92="",S92="Voided / Rescinded"),0,K92)</f>
        <v>0</v>
      </c>
      <c r="U92" s="12"/>
    </row>
    <row r="93" customFormat="false" ht="15" hidden="false" customHeight="false" outlineLevel="0" collapsed="false">
      <c r="A93" s="37"/>
      <c r="B93" s="38"/>
      <c r="C93" s="37"/>
      <c r="D93" s="31" t="str">
        <f aca="false">IF($C93="","",IFERROR(INDEX(Employee_Master!$B$5:$B$104,MATCH($C93,Employee_Master!$A$5:$A$104,0)),"ID not found"))</f>
        <v/>
      </c>
      <c r="E93" s="31" t="str">
        <f aca="false">IF($C93="","",IFERROR(INDEX(Employee_Master!$C$5:$C$104,MATCH($C93,Employee_Master!$A$5:$A$104,0)),"ID not found"))</f>
        <v/>
      </c>
      <c r="F93" s="37"/>
      <c r="G93" s="37"/>
      <c r="H93" s="37"/>
      <c r="I93" s="12"/>
      <c r="J93" s="37"/>
      <c r="K93" s="31" t="str">
        <f aca="false">IF(J93="","",IFERROR(INDEX(Reference_Data!$T$5:$T$14,MATCH(J93,Reference_Data!$S$5:$S$14,0)),0))</f>
        <v/>
      </c>
      <c r="L93" s="38"/>
      <c r="M93" s="38"/>
      <c r="N93" s="38"/>
      <c r="O93" s="37"/>
      <c r="P93" s="37"/>
      <c r="Q93" s="37"/>
      <c r="R93" s="38"/>
      <c r="S93" s="37"/>
      <c r="T93" s="31" t="n">
        <f aca="false">IF(OR(K93="",N93="",S93="Voided / Rescinded"),0,K93)</f>
        <v>0</v>
      </c>
      <c r="U93" s="12"/>
    </row>
    <row r="94" customFormat="false" ht="15" hidden="false" customHeight="false" outlineLevel="0" collapsed="false">
      <c r="A94" s="37"/>
      <c r="B94" s="38"/>
      <c r="C94" s="37"/>
      <c r="D94" s="31" t="str">
        <f aca="false">IF($C94="","",IFERROR(INDEX(Employee_Master!$B$5:$B$104,MATCH($C94,Employee_Master!$A$5:$A$104,0)),"ID not found"))</f>
        <v/>
      </c>
      <c r="E94" s="31" t="str">
        <f aca="false">IF($C94="","",IFERROR(INDEX(Employee_Master!$C$5:$C$104,MATCH($C94,Employee_Master!$A$5:$A$104,0)),"ID not found"))</f>
        <v/>
      </c>
      <c r="F94" s="37"/>
      <c r="G94" s="37"/>
      <c r="H94" s="37"/>
      <c r="I94" s="12"/>
      <c r="J94" s="37"/>
      <c r="K94" s="31" t="str">
        <f aca="false">IF(J94="","",IFERROR(INDEX(Reference_Data!$T$5:$T$14,MATCH(J94,Reference_Data!$S$5:$S$14,0)),0))</f>
        <v/>
      </c>
      <c r="L94" s="38"/>
      <c r="M94" s="38"/>
      <c r="N94" s="38"/>
      <c r="O94" s="37"/>
      <c r="P94" s="37"/>
      <c r="Q94" s="37"/>
      <c r="R94" s="38"/>
      <c r="S94" s="37"/>
      <c r="T94" s="31" t="n">
        <f aca="false">IF(OR(K94="",N94="",S94="Voided / Rescinded"),0,K94)</f>
        <v>0</v>
      </c>
      <c r="U94" s="12"/>
    </row>
    <row r="95" customFormat="false" ht="15" hidden="false" customHeight="false" outlineLevel="0" collapsed="false">
      <c r="A95" s="37"/>
      <c r="B95" s="38"/>
      <c r="C95" s="37"/>
      <c r="D95" s="31" t="str">
        <f aca="false">IF($C95="","",IFERROR(INDEX(Employee_Master!$B$5:$B$104,MATCH($C95,Employee_Master!$A$5:$A$104,0)),"ID not found"))</f>
        <v/>
      </c>
      <c r="E95" s="31" t="str">
        <f aca="false">IF($C95="","",IFERROR(INDEX(Employee_Master!$C$5:$C$104,MATCH($C95,Employee_Master!$A$5:$A$104,0)),"ID not found"))</f>
        <v/>
      </c>
      <c r="F95" s="37"/>
      <c r="G95" s="37"/>
      <c r="H95" s="37"/>
      <c r="I95" s="12"/>
      <c r="J95" s="37"/>
      <c r="K95" s="31" t="str">
        <f aca="false">IF(J95="","",IFERROR(INDEX(Reference_Data!$T$5:$T$14,MATCH(J95,Reference_Data!$S$5:$S$14,0)),0))</f>
        <v/>
      </c>
      <c r="L95" s="38"/>
      <c r="M95" s="38"/>
      <c r="N95" s="38"/>
      <c r="O95" s="37"/>
      <c r="P95" s="37"/>
      <c r="Q95" s="37"/>
      <c r="R95" s="38"/>
      <c r="S95" s="37"/>
      <c r="T95" s="31" t="n">
        <f aca="false">IF(OR(K95="",N95="",S95="Voided / Rescinded"),0,K95)</f>
        <v>0</v>
      </c>
      <c r="U95" s="12"/>
    </row>
    <row r="96" customFormat="false" ht="15" hidden="false" customHeight="false" outlineLevel="0" collapsed="false">
      <c r="A96" s="37"/>
      <c r="B96" s="38"/>
      <c r="C96" s="37"/>
      <c r="D96" s="31" t="str">
        <f aca="false">IF($C96="","",IFERROR(INDEX(Employee_Master!$B$5:$B$104,MATCH($C96,Employee_Master!$A$5:$A$104,0)),"ID not found"))</f>
        <v/>
      </c>
      <c r="E96" s="31" t="str">
        <f aca="false">IF($C96="","",IFERROR(INDEX(Employee_Master!$C$5:$C$104,MATCH($C96,Employee_Master!$A$5:$A$104,0)),"ID not found"))</f>
        <v/>
      </c>
      <c r="F96" s="37"/>
      <c r="G96" s="37"/>
      <c r="H96" s="37"/>
      <c r="I96" s="12"/>
      <c r="J96" s="37"/>
      <c r="K96" s="31" t="str">
        <f aca="false">IF(J96="","",IFERROR(INDEX(Reference_Data!$T$5:$T$14,MATCH(J96,Reference_Data!$S$5:$S$14,0)),0))</f>
        <v/>
      </c>
      <c r="L96" s="38"/>
      <c r="M96" s="38"/>
      <c r="N96" s="38"/>
      <c r="O96" s="37"/>
      <c r="P96" s="37"/>
      <c r="Q96" s="37"/>
      <c r="R96" s="38"/>
      <c r="S96" s="37"/>
      <c r="T96" s="31" t="n">
        <f aca="false">IF(OR(K96="",N96="",S96="Voided / Rescinded"),0,K96)</f>
        <v>0</v>
      </c>
      <c r="U96" s="12"/>
    </row>
    <row r="97" customFormat="false" ht="15" hidden="false" customHeight="false" outlineLevel="0" collapsed="false">
      <c r="A97" s="37"/>
      <c r="B97" s="38"/>
      <c r="C97" s="37"/>
      <c r="D97" s="31" t="str">
        <f aca="false">IF($C97="","",IFERROR(INDEX(Employee_Master!$B$5:$B$104,MATCH($C97,Employee_Master!$A$5:$A$104,0)),"ID not found"))</f>
        <v/>
      </c>
      <c r="E97" s="31" t="str">
        <f aca="false">IF($C97="","",IFERROR(INDEX(Employee_Master!$C$5:$C$104,MATCH($C97,Employee_Master!$A$5:$A$104,0)),"ID not found"))</f>
        <v/>
      </c>
      <c r="F97" s="37"/>
      <c r="G97" s="37"/>
      <c r="H97" s="37"/>
      <c r="I97" s="12"/>
      <c r="J97" s="37"/>
      <c r="K97" s="31" t="str">
        <f aca="false">IF(J97="","",IFERROR(INDEX(Reference_Data!$T$5:$T$14,MATCH(J97,Reference_Data!$S$5:$S$14,0)),0))</f>
        <v/>
      </c>
      <c r="L97" s="38"/>
      <c r="M97" s="38"/>
      <c r="N97" s="38"/>
      <c r="O97" s="37"/>
      <c r="P97" s="37"/>
      <c r="Q97" s="37"/>
      <c r="R97" s="38"/>
      <c r="S97" s="37"/>
      <c r="T97" s="31" t="n">
        <f aca="false">IF(OR(K97="",N97="",S97="Voided / Rescinded"),0,K97)</f>
        <v>0</v>
      </c>
      <c r="U97" s="12"/>
    </row>
    <row r="98" customFormat="false" ht="15" hidden="false" customHeight="false" outlineLevel="0" collapsed="false">
      <c r="A98" s="37"/>
      <c r="B98" s="38"/>
      <c r="C98" s="37"/>
      <c r="D98" s="31" t="str">
        <f aca="false">IF($C98="","",IFERROR(INDEX(Employee_Master!$B$5:$B$104,MATCH($C98,Employee_Master!$A$5:$A$104,0)),"ID not found"))</f>
        <v/>
      </c>
      <c r="E98" s="31" t="str">
        <f aca="false">IF($C98="","",IFERROR(INDEX(Employee_Master!$C$5:$C$104,MATCH($C98,Employee_Master!$A$5:$A$104,0)),"ID not found"))</f>
        <v/>
      </c>
      <c r="F98" s="37"/>
      <c r="G98" s="37"/>
      <c r="H98" s="37"/>
      <c r="I98" s="12"/>
      <c r="J98" s="37"/>
      <c r="K98" s="31" t="str">
        <f aca="false">IF(J98="","",IFERROR(INDEX(Reference_Data!$T$5:$T$14,MATCH(J98,Reference_Data!$S$5:$S$14,0)),0))</f>
        <v/>
      </c>
      <c r="L98" s="38"/>
      <c r="M98" s="38"/>
      <c r="N98" s="38"/>
      <c r="O98" s="37"/>
      <c r="P98" s="37"/>
      <c r="Q98" s="37"/>
      <c r="R98" s="38"/>
      <c r="S98" s="37"/>
      <c r="T98" s="31" t="n">
        <f aca="false">IF(OR(K98="",N98="",S98="Voided / Rescinded"),0,K98)</f>
        <v>0</v>
      </c>
      <c r="U98" s="12"/>
    </row>
    <row r="99" customFormat="false" ht="15" hidden="false" customHeight="false" outlineLevel="0" collapsed="false">
      <c r="A99" s="37"/>
      <c r="B99" s="38"/>
      <c r="C99" s="37"/>
      <c r="D99" s="31" t="str">
        <f aca="false">IF($C99="","",IFERROR(INDEX(Employee_Master!$B$5:$B$104,MATCH($C99,Employee_Master!$A$5:$A$104,0)),"ID not found"))</f>
        <v/>
      </c>
      <c r="E99" s="31" t="str">
        <f aca="false">IF($C99="","",IFERROR(INDEX(Employee_Master!$C$5:$C$104,MATCH($C99,Employee_Master!$A$5:$A$104,0)),"ID not found"))</f>
        <v/>
      </c>
      <c r="F99" s="37"/>
      <c r="G99" s="37"/>
      <c r="H99" s="37"/>
      <c r="I99" s="12"/>
      <c r="J99" s="37"/>
      <c r="K99" s="31" t="str">
        <f aca="false">IF(J99="","",IFERROR(INDEX(Reference_Data!$T$5:$T$14,MATCH(J99,Reference_Data!$S$5:$S$14,0)),0))</f>
        <v/>
      </c>
      <c r="L99" s="38"/>
      <c r="M99" s="38"/>
      <c r="N99" s="38"/>
      <c r="O99" s="37"/>
      <c r="P99" s="37"/>
      <c r="Q99" s="37"/>
      <c r="R99" s="38"/>
      <c r="S99" s="37"/>
      <c r="T99" s="31" t="n">
        <f aca="false">IF(OR(K99="",N99="",S99="Voided / Rescinded"),0,K99)</f>
        <v>0</v>
      </c>
      <c r="U99" s="12"/>
    </row>
    <row r="100" customFormat="false" ht="15" hidden="false" customHeight="false" outlineLevel="0" collapsed="false">
      <c r="A100" s="37"/>
      <c r="B100" s="38"/>
      <c r="C100" s="37"/>
      <c r="D100" s="31" t="str">
        <f aca="false">IF($C100="","",IFERROR(INDEX(Employee_Master!$B$5:$B$104,MATCH($C100,Employee_Master!$A$5:$A$104,0)),"ID not found"))</f>
        <v/>
      </c>
      <c r="E100" s="31" t="str">
        <f aca="false">IF($C100="","",IFERROR(INDEX(Employee_Master!$C$5:$C$104,MATCH($C100,Employee_Master!$A$5:$A$104,0)),"ID not found"))</f>
        <v/>
      </c>
      <c r="F100" s="37"/>
      <c r="G100" s="37"/>
      <c r="H100" s="37"/>
      <c r="I100" s="12"/>
      <c r="J100" s="37"/>
      <c r="K100" s="31" t="str">
        <f aca="false">IF(J100="","",IFERROR(INDEX(Reference_Data!$T$5:$T$14,MATCH(J100,Reference_Data!$S$5:$S$14,0)),0))</f>
        <v/>
      </c>
      <c r="L100" s="38"/>
      <c r="M100" s="38"/>
      <c r="N100" s="38"/>
      <c r="O100" s="37"/>
      <c r="P100" s="37"/>
      <c r="Q100" s="37"/>
      <c r="R100" s="38"/>
      <c r="S100" s="37"/>
      <c r="T100" s="31" t="n">
        <f aca="false">IF(OR(K100="",N100="",S100="Voided / Rescinded"),0,K100)</f>
        <v>0</v>
      </c>
      <c r="U100" s="12"/>
    </row>
    <row r="101" customFormat="false" ht="15" hidden="false" customHeight="false" outlineLevel="0" collapsed="false">
      <c r="A101" s="37"/>
      <c r="B101" s="38"/>
      <c r="C101" s="37"/>
      <c r="D101" s="31" t="str">
        <f aca="false">IF($C101="","",IFERROR(INDEX(Employee_Master!$B$5:$B$104,MATCH($C101,Employee_Master!$A$5:$A$104,0)),"ID not found"))</f>
        <v/>
      </c>
      <c r="E101" s="31" t="str">
        <f aca="false">IF($C101="","",IFERROR(INDEX(Employee_Master!$C$5:$C$104,MATCH($C101,Employee_Master!$A$5:$A$104,0)),"ID not found"))</f>
        <v/>
      </c>
      <c r="F101" s="37"/>
      <c r="G101" s="37"/>
      <c r="H101" s="37"/>
      <c r="I101" s="12"/>
      <c r="J101" s="37"/>
      <c r="K101" s="31" t="str">
        <f aca="false">IF(J101="","",IFERROR(INDEX(Reference_Data!$T$5:$T$14,MATCH(J101,Reference_Data!$S$5:$S$14,0)),0))</f>
        <v/>
      </c>
      <c r="L101" s="38"/>
      <c r="M101" s="38"/>
      <c r="N101" s="38"/>
      <c r="O101" s="37"/>
      <c r="P101" s="37"/>
      <c r="Q101" s="37"/>
      <c r="R101" s="38"/>
      <c r="S101" s="37"/>
      <c r="T101" s="31" t="n">
        <f aca="false">IF(OR(K101="",N101="",S101="Voided / Rescinded"),0,K101)</f>
        <v>0</v>
      </c>
      <c r="U101" s="12"/>
    </row>
    <row r="102" customFormat="false" ht="15" hidden="false" customHeight="false" outlineLevel="0" collapsed="false">
      <c r="A102" s="37"/>
      <c r="B102" s="38"/>
      <c r="C102" s="37"/>
      <c r="D102" s="31" t="str">
        <f aca="false">IF($C102="","",IFERROR(INDEX(Employee_Master!$B$5:$B$104,MATCH($C102,Employee_Master!$A$5:$A$104,0)),"ID not found"))</f>
        <v/>
      </c>
      <c r="E102" s="31" t="str">
        <f aca="false">IF($C102="","",IFERROR(INDEX(Employee_Master!$C$5:$C$104,MATCH($C102,Employee_Master!$A$5:$A$104,0)),"ID not found"))</f>
        <v/>
      </c>
      <c r="F102" s="37"/>
      <c r="G102" s="37"/>
      <c r="H102" s="37"/>
      <c r="I102" s="12"/>
      <c r="J102" s="37"/>
      <c r="K102" s="31" t="str">
        <f aca="false">IF(J102="","",IFERROR(INDEX(Reference_Data!$T$5:$T$14,MATCH(J102,Reference_Data!$S$5:$S$14,0)),0))</f>
        <v/>
      </c>
      <c r="L102" s="38"/>
      <c r="M102" s="38"/>
      <c r="N102" s="38"/>
      <c r="O102" s="37"/>
      <c r="P102" s="37"/>
      <c r="Q102" s="37"/>
      <c r="R102" s="38"/>
      <c r="S102" s="37"/>
      <c r="T102" s="31" t="n">
        <f aca="false">IF(OR(K102="",N102="",S102="Voided / Rescinded"),0,K102)</f>
        <v>0</v>
      </c>
      <c r="U102" s="12"/>
    </row>
    <row r="103" customFormat="false" ht="15" hidden="false" customHeight="false" outlineLevel="0" collapsed="false">
      <c r="A103" s="37"/>
      <c r="B103" s="38"/>
      <c r="C103" s="37"/>
      <c r="D103" s="31" t="str">
        <f aca="false">IF($C103="","",IFERROR(INDEX(Employee_Master!$B$5:$B$104,MATCH($C103,Employee_Master!$A$5:$A$104,0)),"ID not found"))</f>
        <v/>
      </c>
      <c r="E103" s="31" t="str">
        <f aca="false">IF($C103="","",IFERROR(INDEX(Employee_Master!$C$5:$C$104,MATCH($C103,Employee_Master!$A$5:$A$104,0)),"ID not found"))</f>
        <v/>
      </c>
      <c r="F103" s="37"/>
      <c r="G103" s="37"/>
      <c r="H103" s="37"/>
      <c r="I103" s="12"/>
      <c r="J103" s="37"/>
      <c r="K103" s="31" t="str">
        <f aca="false">IF(J103="","",IFERROR(INDEX(Reference_Data!$T$5:$T$14,MATCH(J103,Reference_Data!$S$5:$S$14,0)),0))</f>
        <v/>
      </c>
      <c r="L103" s="38"/>
      <c r="M103" s="38"/>
      <c r="N103" s="38"/>
      <c r="O103" s="37"/>
      <c r="P103" s="37"/>
      <c r="Q103" s="37"/>
      <c r="R103" s="38"/>
      <c r="S103" s="37"/>
      <c r="T103" s="31" t="n">
        <f aca="false">IF(OR(K103="",N103="",S103="Voided / Rescinded"),0,K103)</f>
        <v>0</v>
      </c>
      <c r="U103" s="12"/>
    </row>
    <row r="104" customFormat="false" ht="15" hidden="false" customHeight="false" outlineLevel="0" collapsed="false">
      <c r="A104" s="37"/>
      <c r="B104" s="38"/>
      <c r="C104" s="37"/>
      <c r="D104" s="31" t="str">
        <f aca="false">IF($C104="","",IFERROR(INDEX(Employee_Master!$B$5:$B$104,MATCH($C104,Employee_Master!$A$5:$A$104,0)),"ID not found"))</f>
        <v/>
      </c>
      <c r="E104" s="31" t="str">
        <f aca="false">IF($C104="","",IFERROR(INDEX(Employee_Master!$C$5:$C$104,MATCH($C104,Employee_Master!$A$5:$A$104,0)),"ID not found"))</f>
        <v/>
      </c>
      <c r="F104" s="37"/>
      <c r="G104" s="37"/>
      <c r="H104" s="37"/>
      <c r="I104" s="12"/>
      <c r="J104" s="37"/>
      <c r="K104" s="31" t="str">
        <f aca="false">IF(J104="","",IFERROR(INDEX(Reference_Data!$T$5:$T$14,MATCH(J104,Reference_Data!$S$5:$S$14,0)),0))</f>
        <v/>
      </c>
      <c r="L104" s="38"/>
      <c r="M104" s="38"/>
      <c r="N104" s="38"/>
      <c r="O104" s="37"/>
      <c r="P104" s="37"/>
      <c r="Q104" s="37"/>
      <c r="R104" s="38"/>
      <c r="S104" s="37"/>
      <c r="T104" s="31" t="n">
        <f aca="false">IF(OR(K104="",N104="",S104="Voided / Rescinded"),0,K104)</f>
        <v>0</v>
      </c>
      <c r="U104" s="12"/>
    </row>
    <row r="105" customFormat="false" ht="15" hidden="false" customHeight="false" outlineLevel="0" collapsed="false">
      <c r="A105" s="37"/>
      <c r="B105" s="38"/>
      <c r="C105" s="37"/>
      <c r="D105" s="31" t="str">
        <f aca="false">IF($C105="","",IFERROR(INDEX(Employee_Master!$B$5:$B$104,MATCH($C105,Employee_Master!$A$5:$A$104,0)),"ID not found"))</f>
        <v/>
      </c>
      <c r="E105" s="31" t="str">
        <f aca="false">IF($C105="","",IFERROR(INDEX(Employee_Master!$C$5:$C$104,MATCH($C105,Employee_Master!$A$5:$A$104,0)),"ID not found"))</f>
        <v/>
      </c>
      <c r="F105" s="37"/>
      <c r="G105" s="37"/>
      <c r="H105" s="37"/>
      <c r="I105" s="12"/>
      <c r="J105" s="37"/>
      <c r="K105" s="31" t="str">
        <f aca="false">IF(J105="","",IFERROR(INDEX(Reference_Data!$T$5:$T$14,MATCH(J105,Reference_Data!$S$5:$S$14,0)),0))</f>
        <v/>
      </c>
      <c r="L105" s="38"/>
      <c r="M105" s="38"/>
      <c r="N105" s="38"/>
      <c r="O105" s="37"/>
      <c r="P105" s="37"/>
      <c r="Q105" s="37"/>
      <c r="R105" s="38"/>
      <c r="S105" s="37"/>
      <c r="T105" s="31" t="n">
        <f aca="false">IF(OR(K105="",N105="",S105="Voided / Rescinded"),0,K105)</f>
        <v>0</v>
      </c>
      <c r="U105" s="12"/>
    </row>
    <row r="106" customFormat="false" ht="15" hidden="false" customHeight="false" outlineLevel="0" collapsed="false">
      <c r="A106" s="37"/>
      <c r="B106" s="38"/>
      <c r="C106" s="37"/>
      <c r="D106" s="31" t="str">
        <f aca="false">IF($C106="","",IFERROR(INDEX(Employee_Master!$B$5:$B$104,MATCH($C106,Employee_Master!$A$5:$A$104,0)),"ID not found"))</f>
        <v/>
      </c>
      <c r="E106" s="31" t="str">
        <f aca="false">IF($C106="","",IFERROR(INDEX(Employee_Master!$C$5:$C$104,MATCH($C106,Employee_Master!$A$5:$A$104,0)),"ID not found"))</f>
        <v/>
      </c>
      <c r="F106" s="37"/>
      <c r="G106" s="37"/>
      <c r="H106" s="37"/>
      <c r="I106" s="12"/>
      <c r="J106" s="37"/>
      <c r="K106" s="31" t="str">
        <f aca="false">IF(J106="","",IFERROR(INDEX(Reference_Data!$T$5:$T$14,MATCH(J106,Reference_Data!$S$5:$S$14,0)),0))</f>
        <v/>
      </c>
      <c r="L106" s="38"/>
      <c r="M106" s="38"/>
      <c r="N106" s="38"/>
      <c r="O106" s="37"/>
      <c r="P106" s="37"/>
      <c r="Q106" s="37"/>
      <c r="R106" s="38"/>
      <c r="S106" s="37"/>
      <c r="T106" s="31" t="n">
        <f aca="false">IF(OR(K106="",N106="",S106="Voided / Rescinded"),0,K106)</f>
        <v>0</v>
      </c>
      <c r="U106" s="12"/>
    </row>
    <row r="107" customFormat="false" ht="15" hidden="false" customHeight="false" outlineLevel="0" collapsed="false">
      <c r="A107" s="37"/>
      <c r="B107" s="38"/>
      <c r="C107" s="37"/>
      <c r="D107" s="31" t="str">
        <f aca="false">IF($C107="","",IFERROR(INDEX(Employee_Master!$B$5:$B$104,MATCH($C107,Employee_Master!$A$5:$A$104,0)),"ID not found"))</f>
        <v/>
      </c>
      <c r="E107" s="31" t="str">
        <f aca="false">IF($C107="","",IFERROR(INDEX(Employee_Master!$C$5:$C$104,MATCH($C107,Employee_Master!$A$5:$A$104,0)),"ID not found"))</f>
        <v/>
      </c>
      <c r="F107" s="37"/>
      <c r="G107" s="37"/>
      <c r="H107" s="37"/>
      <c r="I107" s="12"/>
      <c r="J107" s="37"/>
      <c r="K107" s="31" t="str">
        <f aca="false">IF(J107="","",IFERROR(INDEX(Reference_Data!$T$5:$T$14,MATCH(J107,Reference_Data!$S$5:$S$14,0)),0))</f>
        <v/>
      </c>
      <c r="L107" s="38"/>
      <c r="M107" s="38"/>
      <c r="N107" s="38"/>
      <c r="O107" s="37"/>
      <c r="P107" s="37"/>
      <c r="Q107" s="37"/>
      <c r="R107" s="38"/>
      <c r="S107" s="37"/>
      <c r="T107" s="31" t="n">
        <f aca="false">IF(OR(K107="",N107="",S107="Voided / Rescinded"),0,K107)</f>
        <v>0</v>
      </c>
      <c r="U107" s="12"/>
    </row>
    <row r="108" customFormat="false" ht="15" hidden="false" customHeight="false" outlineLevel="0" collapsed="false">
      <c r="A108" s="37"/>
      <c r="B108" s="38"/>
      <c r="C108" s="37"/>
      <c r="D108" s="31" t="str">
        <f aca="false">IF($C108="","",IFERROR(INDEX(Employee_Master!$B$5:$B$104,MATCH($C108,Employee_Master!$A$5:$A$104,0)),"ID not found"))</f>
        <v/>
      </c>
      <c r="E108" s="31" t="str">
        <f aca="false">IF($C108="","",IFERROR(INDEX(Employee_Master!$C$5:$C$104,MATCH($C108,Employee_Master!$A$5:$A$104,0)),"ID not found"))</f>
        <v/>
      </c>
      <c r="F108" s="37"/>
      <c r="G108" s="37"/>
      <c r="H108" s="37"/>
      <c r="I108" s="12"/>
      <c r="J108" s="37"/>
      <c r="K108" s="31" t="str">
        <f aca="false">IF(J108="","",IFERROR(INDEX(Reference_Data!$T$5:$T$14,MATCH(J108,Reference_Data!$S$5:$S$14,0)),0))</f>
        <v/>
      </c>
      <c r="L108" s="38"/>
      <c r="M108" s="38"/>
      <c r="N108" s="38"/>
      <c r="O108" s="37"/>
      <c r="P108" s="37"/>
      <c r="Q108" s="37"/>
      <c r="R108" s="38"/>
      <c r="S108" s="37"/>
      <c r="T108" s="31" t="n">
        <f aca="false">IF(OR(K108="",N108="",S108="Voided / Rescinded"),0,K108)</f>
        <v>0</v>
      </c>
      <c r="U108" s="12"/>
    </row>
    <row r="109" customFormat="false" ht="15" hidden="false" customHeight="false" outlineLevel="0" collapsed="false">
      <c r="A109" s="37"/>
      <c r="B109" s="38"/>
      <c r="C109" s="37"/>
      <c r="D109" s="31" t="str">
        <f aca="false">IF($C109="","",IFERROR(INDEX(Employee_Master!$B$5:$B$104,MATCH($C109,Employee_Master!$A$5:$A$104,0)),"ID not found"))</f>
        <v/>
      </c>
      <c r="E109" s="31" t="str">
        <f aca="false">IF($C109="","",IFERROR(INDEX(Employee_Master!$C$5:$C$104,MATCH($C109,Employee_Master!$A$5:$A$104,0)),"ID not found"))</f>
        <v/>
      </c>
      <c r="F109" s="37"/>
      <c r="G109" s="37"/>
      <c r="H109" s="37"/>
      <c r="I109" s="12"/>
      <c r="J109" s="37"/>
      <c r="K109" s="31" t="str">
        <f aca="false">IF(J109="","",IFERROR(INDEX(Reference_Data!$T$5:$T$14,MATCH(J109,Reference_Data!$S$5:$S$14,0)),0))</f>
        <v/>
      </c>
      <c r="L109" s="38"/>
      <c r="M109" s="38"/>
      <c r="N109" s="38"/>
      <c r="O109" s="37"/>
      <c r="P109" s="37"/>
      <c r="Q109" s="37"/>
      <c r="R109" s="38"/>
      <c r="S109" s="37"/>
      <c r="T109" s="31" t="n">
        <f aca="false">IF(OR(K109="",N109="",S109="Voided / Rescinded"),0,K109)</f>
        <v>0</v>
      </c>
      <c r="U109" s="12"/>
    </row>
    <row r="110" customFormat="false" ht="15" hidden="false" customHeight="false" outlineLevel="0" collapsed="false">
      <c r="A110" s="37"/>
      <c r="B110" s="38"/>
      <c r="C110" s="37"/>
      <c r="D110" s="31" t="str">
        <f aca="false">IF($C110="","",IFERROR(INDEX(Employee_Master!$B$5:$B$104,MATCH($C110,Employee_Master!$A$5:$A$104,0)),"ID not found"))</f>
        <v/>
      </c>
      <c r="E110" s="31" t="str">
        <f aca="false">IF($C110="","",IFERROR(INDEX(Employee_Master!$C$5:$C$104,MATCH($C110,Employee_Master!$A$5:$A$104,0)),"ID not found"))</f>
        <v/>
      </c>
      <c r="F110" s="37"/>
      <c r="G110" s="37"/>
      <c r="H110" s="37"/>
      <c r="I110" s="12"/>
      <c r="J110" s="37"/>
      <c r="K110" s="31" t="str">
        <f aca="false">IF(J110="","",IFERROR(INDEX(Reference_Data!$T$5:$T$14,MATCH(J110,Reference_Data!$S$5:$S$14,0)),0))</f>
        <v/>
      </c>
      <c r="L110" s="38"/>
      <c r="M110" s="38"/>
      <c r="N110" s="38"/>
      <c r="O110" s="37"/>
      <c r="P110" s="37"/>
      <c r="Q110" s="37"/>
      <c r="R110" s="38"/>
      <c r="S110" s="37"/>
      <c r="T110" s="31" t="n">
        <f aca="false">IF(OR(K110="",N110="",S110="Voided / Rescinded"),0,K110)</f>
        <v>0</v>
      </c>
      <c r="U110" s="12"/>
    </row>
    <row r="111" customFormat="false" ht="15" hidden="false" customHeight="false" outlineLevel="0" collapsed="false">
      <c r="A111" s="37"/>
      <c r="B111" s="38"/>
      <c r="C111" s="37"/>
      <c r="D111" s="31" t="str">
        <f aca="false">IF($C111="","",IFERROR(INDEX(Employee_Master!$B$5:$B$104,MATCH($C111,Employee_Master!$A$5:$A$104,0)),"ID not found"))</f>
        <v/>
      </c>
      <c r="E111" s="31" t="str">
        <f aca="false">IF($C111="","",IFERROR(INDEX(Employee_Master!$C$5:$C$104,MATCH($C111,Employee_Master!$A$5:$A$104,0)),"ID not found"))</f>
        <v/>
      </c>
      <c r="F111" s="37"/>
      <c r="G111" s="37"/>
      <c r="H111" s="37"/>
      <c r="I111" s="12"/>
      <c r="J111" s="37"/>
      <c r="K111" s="31" t="str">
        <f aca="false">IF(J111="","",IFERROR(INDEX(Reference_Data!$T$5:$T$14,MATCH(J111,Reference_Data!$S$5:$S$14,0)),0))</f>
        <v/>
      </c>
      <c r="L111" s="38"/>
      <c r="M111" s="38"/>
      <c r="N111" s="38"/>
      <c r="O111" s="37"/>
      <c r="P111" s="37"/>
      <c r="Q111" s="37"/>
      <c r="R111" s="38"/>
      <c r="S111" s="37"/>
      <c r="T111" s="31" t="n">
        <f aca="false">IF(OR(K111="",N111="",S111="Voided / Rescinded"),0,K111)</f>
        <v>0</v>
      </c>
      <c r="U111" s="12"/>
    </row>
    <row r="112" customFormat="false" ht="15" hidden="false" customHeight="false" outlineLevel="0" collapsed="false">
      <c r="A112" s="37"/>
      <c r="B112" s="38"/>
      <c r="C112" s="37"/>
      <c r="D112" s="31" t="str">
        <f aca="false">IF($C112="","",IFERROR(INDEX(Employee_Master!$B$5:$B$104,MATCH($C112,Employee_Master!$A$5:$A$104,0)),"ID not found"))</f>
        <v/>
      </c>
      <c r="E112" s="31" t="str">
        <f aca="false">IF($C112="","",IFERROR(INDEX(Employee_Master!$C$5:$C$104,MATCH($C112,Employee_Master!$A$5:$A$104,0)),"ID not found"))</f>
        <v/>
      </c>
      <c r="F112" s="37"/>
      <c r="G112" s="37"/>
      <c r="H112" s="37"/>
      <c r="I112" s="12"/>
      <c r="J112" s="37"/>
      <c r="K112" s="31" t="str">
        <f aca="false">IF(J112="","",IFERROR(INDEX(Reference_Data!$T$5:$T$14,MATCH(J112,Reference_Data!$S$5:$S$14,0)),0))</f>
        <v/>
      </c>
      <c r="L112" s="38"/>
      <c r="M112" s="38"/>
      <c r="N112" s="38"/>
      <c r="O112" s="37"/>
      <c r="P112" s="37"/>
      <c r="Q112" s="37"/>
      <c r="R112" s="38"/>
      <c r="S112" s="37"/>
      <c r="T112" s="31" t="n">
        <f aca="false">IF(OR(K112="",N112="",S112="Voided / Rescinded"),0,K112)</f>
        <v>0</v>
      </c>
      <c r="U112" s="12"/>
    </row>
    <row r="113" customFormat="false" ht="15" hidden="false" customHeight="false" outlineLevel="0" collapsed="false">
      <c r="A113" s="37"/>
      <c r="B113" s="38"/>
      <c r="C113" s="37"/>
      <c r="D113" s="31" t="str">
        <f aca="false">IF($C113="","",IFERROR(INDEX(Employee_Master!$B$5:$B$104,MATCH($C113,Employee_Master!$A$5:$A$104,0)),"ID not found"))</f>
        <v/>
      </c>
      <c r="E113" s="31" t="str">
        <f aca="false">IF($C113="","",IFERROR(INDEX(Employee_Master!$C$5:$C$104,MATCH($C113,Employee_Master!$A$5:$A$104,0)),"ID not found"))</f>
        <v/>
      </c>
      <c r="F113" s="37"/>
      <c r="G113" s="37"/>
      <c r="H113" s="37"/>
      <c r="I113" s="12"/>
      <c r="J113" s="37"/>
      <c r="K113" s="31" t="str">
        <f aca="false">IF(J113="","",IFERROR(INDEX(Reference_Data!$T$5:$T$14,MATCH(J113,Reference_Data!$S$5:$S$14,0)),0))</f>
        <v/>
      </c>
      <c r="L113" s="38"/>
      <c r="M113" s="38"/>
      <c r="N113" s="38"/>
      <c r="O113" s="37"/>
      <c r="P113" s="37"/>
      <c r="Q113" s="37"/>
      <c r="R113" s="38"/>
      <c r="S113" s="37"/>
      <c r="T113" s="31" t="n">
        <f aca="false">IF(OR(K113="",N113="",S113="Voided / Rescinded"),0,K113)</f>
        <v>0</v>
      </c>
      <c r="U113" s="12"/>
    </row>
    <row r="114" customFormat="false" ht="15" hidden="false" customHeight="false" outlineLevel="0" collapsed="false">
      <c r="A114" s="37"/>
      <c r="B114" s="38"/>
      <c r="C114" s="37"/>
      <c r="D114" s="31" t="str">
        <f aca="false">IF($C114="","",IFERROR(INDEX(Employee_Master!$B$5:$B$104,MATCH($C114,Employee_Master!$A$5:$A$104,0)),"ID not found"))</f>
        <v/>
      </c>
      <c r="E114" s="31" t="str">
        <f aca="false">IF($C114="","",IFERROR(INDEX(Employee_Master!$C$5:$C$104,MATCH($C114,Employee_Master!$A$5:$A$104,0)),"ID not found"))</f>
        <v/>
      </c>
      <c r="F114" s="37"/>
      <c r="G114" s="37"/>
      <c r="H114" s="37"/>
      <c r="I114" s="12"/>
      <c r="J114" s="37"/>
      <c r="K114" s="31" t="str">
        <f aca="false">IF(J114="","",IFERROR(INDEX(Reference_Data!$T$5:$T$14,MATCH(J114,Reference_Data!$S$5:$S$14,0)),0))</f>
        <v/>
      </c>
      <c r="L114" s="38"/>
      <c r="M114" s="38"/>
      <c r="N114" s="38"/>
      <c r="O114" s="37"/>
      <c r="P114" s="37"/>
      <c r="Q114" s="37"/>
      <c r="R114" s="38"/>
      <c r="S114" s="37"/>
      <c r="T114" s="31" t="n">
        <f aca="false">IF(OR(K114="",N114="",S114="Voided / Rescinded"),0,K114)</f>
        <v>0</v>
      </c>
      <c r="U114" s="12"/>
    </row>
    <row r="115" customFormat="false" ht="15" hidden="false" customHeight="false" outlineLevel="0" collapsed="false">
      <c r="A115" s="37"/>
      <c r="B115" s="38"/>
      <c r="C115" s="37"/>
      <c r="D115" s="31" t="str">
        <f aca="false">IF($C115="","",IFERROR(INDEX(Employee_Master!$B$5:$B$104,MATCH($C115,Employee_Master!$A$5:$A$104,0)),"ID not found"))</f>
        <v/>
      </c>
      <c r="E115" s="31" t="str">
        <f aca="false">IF($C115="","",IFERROR(INDEX(Employee_Master!$C$5:$C$104,MATCH($C115,Employee_Master!$A$5:$A$104,0)),"ID not found"))</f>
        <v/>
      </c>
      <c r="F115" s="37"/>
      <c r="G115" s="37"/>
      <c r="H115" s="37"/>
      <c r="I115" s="12"/>
      <c r="J115" s="37"/>
      <c r="K115" s="31" t="str">
        <f aca="false">IF(J115="","",IFERROR(INDEX(Reference_Data!$T$5:$T$14,MATCH(J115,Reference_Data!$S$5:$S$14,0)),0))</f>
        <v/>
      </c>
      <c r="L115" s="38"/>
      <c r="M115" s="38"/>
      <c r="N115" s="38"/>
      <c r="O115" s="37"/>
      <c r="P115" s="37"/>
      <c r="Q115" s="37"/>
      <c r="R115" s="38"/>
      <c r="S115" s="37"/>
      <c r="T115" s="31" t="n">
        <f aca="false">IF(OR(K115="",N115="",S115="Voided / Rescinded"),0,K115)</f>
        <v>0</v>
      </c>
      <c r="U115" s="12"/>
    </row>
    <row r="116" customFormat="false" ht="15" hidden="false" customHeight="false" outlineLevel="0" collapsed="false">
      <c r="A116" s="37"/>
      <c r="B116" s="38"/>
      <c r="C116" s="37"/>
      <c r="D116" s="31" t="str">
        <f aca="false">IF($C116="","",IFERROR(INDEX(Employee_Master!$B$5:$B$104,MATCH($C116,Employee_Master!$A$5:$A$104,0)),"ID not found"))</f>
        <v/>
      </c>
      <c r="E116" s="31" t="str">
        <f aca="false">IF($C116="","",IFERROR(INDEX(Employee_Master!$C$5:$C$104,MATCH($C116,Employee_Master!$A$5:$A$104,0)),"ID not found"))</f>
        <v/>
      </c>
      <c r="F116" s="37"/>
      <c r="G116" s="37"/>
      <c r="H116" s="37"/>
      <c r="I116" s="12"/>
      <c r="J116" s="37"/>
      <c r="K116" s="31" t="str">
        <f aca="false">IF(J116="","",IFERROR(INDEX(Reference_Data!$T$5:$T$14,MATCH(J116,Reference_Data!$S$5:$S$14,0)),0))</f>
        <v/>
      </c>
      <c r="L116" s="38"/>
      <c r="M116" s="38"/>
      <c r="N116" s="38"/>
      <c r="O116" s="37"/>
      <c r="P116" s="37"/>
      <c r="Q116" s="37"/>
      <c r="R116" s="38"/>
      <c r="S116" s="37"/>
      <c r="T116" s="31" t="n">
        <f aca="false">IF(OR(K116="",N116="",S116="Voided / Rescinded"),0,K116)</f>
        <v>0</v>
      </c>
      <c r="U116" s="12"/>
    </row>
    <row r="117" customFormat="false" ht="15" hidden="false" customHeight="false" outlineLevel="0" collapsed="false">
      <c r="A117" s="37"/>
      <c r="B117" s="38"/>
      <c r="C117" s="37"/>
      <c r="D117" s="31" t="str">
        <f aca="false">IF($C117="","",IFERROR(INDEX(Employee_Master!$B$5:$B$104,MATCH($C117,Employee_Master!$A$5:$A$104,0)),"ID not found"))</f>
        <v/>
      </c>
      <c r="E117" s="31" t="str">
        <f aca="false">IF($C117="","",IFERROR(INDEX(Employee_Master!$C$5:$C$104,MATCH($C117,Employee_Master!$A$5:$A$104,0)),"ID not found"))</f>
        <v/>
      </c>
      <c r="F117" s="37"/>
      <c r="G117" s="37"/>
      <c r="H117" s="37"/>
      <c r="I117" s="12"/>
      <c r="J117" s="37"/>
      <c r="K117" s="31" t="str">
        <f aca="false">IF(J117="","",IFERROR(INDEX(Reference_Data!$T$5:$T$14,MATCH(J117,Reference_Data!$S$5:$S$14,0)),0))</f>
        <v/>
      </c>
      <c r="L117" s="38"/>
      <c r="M117" s="38"/>
      <c r="N117" s="38"/>
      <c r="O117" s="37"/>
      <c r="P117" s="37"/>
      <c r="Q117" s="37"/>
      <c r="R117" s="38"/>
      <c r="S117" s="37"/>
      <c r="T117" s="31" t="n">
        <f aca="false">IF(OR(K117="",N117="",S117="Voided / Rescinded"),0,K117)</f>
        <v>0</v>
      </c>
      <c r="U117" s="12"/>
    </row>
    <row r="118" customFormat="false" ht="15" hidden="false" customHeight="false" outlineLevel="0" collapsed="false">
      <c r="A118" s="37"/>
      <c r="B118" s="38"/>
      <c r="C118" s="37"/>
      <c r="D118" s="31" t="str">
        <f aca="false">IF($C118="","",IFERROR(INDEX(Employee_Master!$B$5:$B$104,MATCH($C118,Employee_Master!$A$5:$A$104,0)),"ID not found"))</f>
        <v/>
      </c>
      <c r="E118" s="31" t="str">
        <f aca="false">IF($C118="","",IFERROR(INDEX(Employee_Master!$C$5:$C$104,MATCH($C118,Employee_Master!$A$5:$A$104,0)),"ID not found"))</f>
        <v/>
      </c>
      <c r="F118" s="37"/>
      <c r="G118" s="37"/>
      <c r="H118" s="37"/>
      <c r="I118" s="12"/>
      <c r="J118" s="37"/>
      <c r="K118" s="31" t="str">
        <f aca="false">IF(J118="","",IFERROR(INDEX(Reference_Data!$T$5:$T$14,MATCH(J118,Reference_Data!$S$5:$S$14,0)),0))</f>
        <v/>
      </c>
      <c r="L118" s="38"/>
      <c r="M118" s="38"/>
      <c r="N118" s="38"/>
      <c r="O118" s="37"/>
      <c r="P118" s="37"/>
      <c r="Q118" s="37"/>
      <c r="R118" s="38"/>
      <c r="S118" s="37"/>
      <c r="T118" s="31" t="n">
        <f aca="false">IF(OR(K118="",N118="",S118="Voided / Rescinded"),0,K118)</f>
        <v>0</v>
      </c>
      <c r="U118" s="12"/>
    </row>
    <row r="119" customFormat="false" ht="15" hidden="false" customHeight="false" outlineLevel="0" collapsed="false">
      <c r="A119" s="37"/>
      <c r="B119" s="38"/>
      <c r="C119" s="37"/>
      <c r="D119" s="31" t="str">
        <f aca="false">IF($C119="","",IFERROR(INDEX(Employee_Master!$B$5:$B$104,MATCH($C119,Employee_Master!$A$5:$A$104,0)),"ID not found"))</f>
        <v/>
      </c>
      <c r="E119" s="31" t="str">
        <f aca="false">IF($C119="","",IFERROR(INDEX(Employee_Master!$C$5:$C$104,MATCH($C119,Employee_Master!$A$5:$A$104,0)),"ID not found"))</f>
        <v/>
      </c>
      <c r="F119" s="37"/>
      <c r="G119" s="37"/>
      <c r="H119" s="37"/>
      <c r="I119" s="12"/>
      <c r="J119" s="37"/>
      <c r="K119" s="31" t="str">
        <f aca="false">IF(J119="","",IFERROR(INDEX(Reference_Data!$T$5:$T$14,MATCH(J119,Reference_Data!$S$5:$S$14,0)),0))</f>
        <v/>
      </c>
      <c r="L119" s="38"/>
      <c r="M119" s="38"/>
      <c r="N119" s="38"/>
      <c r="O119" s="37"/>
      <c r="P119" s="37"/>
      <c r="Q119" s="37"/>
      <c r="R119" s="38"/>
      <c r="S119" s="37"/>
      <c r="T119" s="31" t="n">
        <f aca="false">IF(OR(K119="",N119="",S119="Voided / Rescinded"),0,K119)</f>
        <v>0</v>
      </c>
      <c r="U119" s="12"/>
    </row>
    <row r="120" customFormat="false" ht="15" hidden="false" customHeight="false" outlineLevel="0" collapsed="false">
      <c r="A120" s="37"/>
      <c r="B120" s="38"/>
      <c r="C120" s="37"/>
      <c r="D120" s="31" t="str">
        <f aca="false">IF($C120="","",IFERROR(INDEX(Employee_Master!$B$5:$B$104,MATCH($C120,Employee_Master!$A$5:$A$104,0)),"ID not found"))</f>
        <v/>
      </c>
      <c r="E120" s="31" t="str">
        <f aca="false">IF($C120="","",IFERROR(INDEX(Employee_Master!$C$5:$C$104,MATCH($C120,Employee_Master!$A$5:$A$104,0)),"ID not found"))</f>
        <v/>
      </c>
      <c r="F120" s="37"/>
      <c r="G120" s="37"/>
      <c r="H120" s="37"/>
      <c r="I120" s="12"/>
      <c r="J120" s="37"/>
      <c r="K120" s="31" t="str">
        <f aca="false">IF(J120="","",IFERROR(INDEX(Reference_Data!$T$5:$T$14,MATCH(J120,Reference_Data!$S$5:$S$14,0)),0))</f>
        <v/>
      </c>
      <c r="L120" s="38"/>
      <c r="M120" s="38"/>
      <c r="N120" s="38"/>
      <c r="O120" s="37"/>
      <c r="P120" s="37"/>
      <c r="Q120" s="37"/>
      <c r="R120" s="38"/>
      <c r="S120" s="37"/>
      <c r="T120" s="31" t="n">
        <f aca="false">IF(OR(K120="",N120="",S120="Voided / Rescinded"),0,K120)</f>
        <v>0</v>
      </c>
      <c r="U120" s="12"/>
    </row>
    <row r="121" customFormat="false" ht="15" hidden="false" customHeight="false" outlineLevel="0" collapsed="false">
      <c r="A121" s="37"/>
      <c r="B121" s="38"/>
      <c r="C121" s="37"/>
      <c r="D121" s="31" t="str">
        <f aca="false">IF($C121="","",IFERROR(INDEX(Employee_Master!$B$5:$B$104,MATCH($C121,Employee_Master!$A$5:$A$104,0)),"ID not found"))</f>
        <v/>
      </c>
      <c r="E121" s="31" t="str">
        <f aca="false">IF($C121="","",IFERROR(INDEX(Employee_Master!$C$5:$C$104,MATCH($C121,Employee_Master!$A$5:$A$104,0)),"ID not found"))</f>
        <v/>
      </c>
      <c r="F121" s="37"/>
      <c r="G121" s="37"/>
      <c r="H121" s="37"/>
      <c r="I121" s="12"/>
      <c r="J121" s="37"/>
      <c r="K121" s="31" t="str">
        <f aca="false">IF(J121="","",IFERROR(INDEX(Reference_Data!$T$5:$T$14,MATCH(J121,Reference_Data!$S$5:$S$14,0)),0))</f>
        <v/>
      </c>
      <c r="L121" s="38"/>
      <c r="M121" s="38"/>
      <c r="N121" s="38"/>
      <c r="O121" s="37"/>
      <c r="P121" s="37"/>
      <c r="Q121" s="37"/>
      <c r="R121" s="38"/>
      <c r="S121" s="37"/>
      <c r="T121" s="31" t="n">
        <f aca="false">IF(OR(K121="",N121="",S121="Voided / Rescinded"),0,K121)</f>
        <v>0</v>
      </c>
      <c r="U121" s="12"/>
    </row>
    <row r="122" customFormat="false" ht="15" hidden="false" customHeight="false" outlineLevel="0" collapsed="false">
      <c r="A122" s="37"/>
      <c r="B122" s="38"/>
      <c r="C122" s="37"/>
      <c r="D122" s="31" t="str">
        <f aca="false">IF($C122="","",IFERROR(INDEX(Employee_Master!$B$5:$B$104,MATCH($C122,Employee_Master!$A$5:$A$104,0)),"ID not found"))</f>
        <v/>
      </c>
      <c r="E122" s="31" t="str">
        <f aca="false">IF($C122="","",IFERROR(INDEX(Employee_Master!$C$5:$C$104,MATCH($C122,Employee_Master!$A$5:$A$104,0)),"ID not found"))</f>
        <v/>
      </c>
      <c r="F122" s="37"/>
      <c r="G122" s="37"/>
      <c r="H122" s="37"/>
      <c r="I122" s="12"/>
      <c r="J122" s="37"/>
      <c r="K122" s="31" t="str">
        <f aca="false">IF(J122="","",IFERROR(INDEX(Reference_Data!$T$5:$T$14,MATCH(J122,Reference_Data!$S$5:$S$14,0)),0))</f>
        <v/>
      </c>
      <c r="L122" s="38"/>
      <c r="M122" s="38"/>
      <c r="N122" s="38"/>
      <c r="O122" s="37"/>
      <c r="P122" s="37"/>
      <c r="Q122" s="37"/>
      <c r="R122" s="38"/>
      <c r="S122" s="37"/>
      <c r="T122" s="31" t="n">
        <f aca="false">IF(OR(K122="",N122="",S122="Voided / Rescinded"),0,K122)</f>
        <v>0</v>
      </c>
      <c r="U122" s="12"/>
    </row>
    <row r="123" customFormat="false" ht="15" hidden="false" customHeight="false" outlineLevel="0" collapsed="false">
      <c r="A123" s="37"/>
      <c r="B123" s="38"/>
      <c r="C123" s="37"/>
      <c r="D123" s="31" t="str">
        <f aca="false">IF($C123="","",IFERROR(INDEX(Employee_Master!$B$5:$B$104,MATCH($C123,Employee_Master!$A$5:$A$104,0)),"ID not found"))</f>
        <v/>
      </c>
      <c r="E123" s="31" t="str">
        <f aca="false">IF($C123="","",IFERROR(INDEX(Employee_Master!$C$5:$C$104,MATCH($C123,Employee_Master!$A$5:$A$104,0)),"ID not found"))</f>
        <v/>
      </c>
      <c r="F123" s="37"/>
      <c r="G123" s="37"/>
      <c r="H123" s="37"/>
      <c r="I123" s="12"/>
      <c r="J123" s="37"/>
      <c r="K123" s="31" t="str">
        <f aca="false">IF(J123="","",IFERROR(INDEX(Reference_Data!$T$5:$T$14,MATCH(J123,Reference_Data!$S$5:$S$14,0)),0))</f>
        <v/>
      </c>
      <c r="L123" s="38"/>
      <c r="M123" s="38"/>
      <c r="N123" s="38"/>
      <c r="O123" s="37"/>
      <c r="P123" s="37"/>
      <c r="Q123" s="37"/>
      <c r="R123" s="38"/>
      <c r="S123" s="37"/>
      <c r="T123" s="31" t="n">
        <f aca="false">IF(OR(K123="",N123="",S123="Voided / Rescinded"),0,K123)</f>
        <v>0</v>
      </c>
      <c r="U123" s="12"/>
    </row>
    <row r="124" customFormat="false" ht="15" hidden="false" customHeight="false" outlineLevel="0" collapsed="false">
      <c r="A124" s="37"/>
      <c r="B124" s="38"/>
      <c r="C124" s="37"/>
      <c r="D124" s="31" t="str">
        <f aca="false">IF($C124="","",IFERROR(INDEX(Employee_Master!$B$5:$B$104,MATCH($C124,Employee_Master!$A$5:$A$104,0)),"ID not found"))</f>
        <v/>
      </c>
      <c r="E124" s="31" t="str">
        <f aca="false">IF($C124="","",IFERROR(INDEX(Employee_Master!$C$5:$C$104,MATCH($C124,Employee_Master!$A$5:$A$104,0)),"ID not found"))</f>
        <v/>
      </c>
      <c r="F124" s="37"/>
      <c r="G124" s="37"/>
      <c r="H124" s="37"/>
      <c r="I124" s="12"/>
      <c r="J124" s="37"/>
      <c r="K124" s="31" t="str">
        <f aca="false">IF(J124="","",IFERROR(INDEX(Reference_Data!$T$5:$T$14,MATCH(J124,Reference_Data!$S$5:$S$14,0)),0))</f>
        <v/>
      </c>
      <c r="L124" s="38"/>
      <c r="M124" s="38"/>
      <c r="N124" s="38"/>
      <c r="O124" s="37"/>
      <c r="P124" s="37"/>
      <c r="Q124" s="37"/>
      <c r="R124" s="38"/>
      <c r="S124" s="37"/>
      <c r="T124" s="31" t="n">
        <f aca="false">IF(OR(K124="",N124="",S124="Voided / Rescinded"),0,K124)</f>
        <v>0</v>
      </c>
      <c r="U124" s="12"/>
    </row>
    <row r="125" customFormat="false" ht="15" hidden="false" customHeight="false" outlineLevel="0" collapsed="false">
      <c r="A125" s="37"/>
      <c r="B125" s="38"/>
      <c r="C125" s="37"/>
      <c r="D125" s="31" t="str">
        <f aca="false">IF($C125="","",IFERROR(INDEX(Employee_Master!$B$5:$B$104,MATCH($C125,Employee_Master!$A$5:$A$104,0)),"ID not found"))</f>
        <v/>
      </c>
      <c r="E125" s="31" t="str">
        <f aca="false">IF($C125="","",IFERROR(INDEX(Employee_Master!$C$5:$C$104,MATCH($C125,Employee_Master!$A$5:$A$104,0)),"ID not found"))</f>
        <v/>
      </c>
      <c r="F125" s="37"/>
      <c r="G125" s="37"/>
      <c r="H125" s="37"/>
      <c r="I125" s="12"/>
      <c r="J125" s="37"/>
      <c r="K125" s="31" t="str">
        <f aca="false">IF(J125="","",IFERROR(INDEX(Reference_Data!$T$5:$T$14,MATCH(J125,Reference_Data!$S$5:$S$14,0)),0))</f>
        <v/>
      </c>
      <c r="L125" s="38"/>
      <c r="M125" s="38"/>
      <c r="N125" s="38"/>
      <c r="O125" s="37"/>
      <c r="P125" s="37"/>
      <c r="Q125" s="37"/>
      <c r="R125" s="38"/>
      <c r="S125" s="37"/>
      <c r="T125" s="31" t="n">
        <f aca="false">IF(OR(K125="",N125="",S125="Voided / Rescinded"),0,K125)</f>
        <v>0</v>
      </c>
      <c r="U125" s="12"/>
    </row>
    <row r="126" customFormat="false" ht="15" hidden="false" customHeight="false" outlineLevel="0" collapsed="false">
      <c r="A126" s="37"/>
      <c r="B126" s="38"/>
      <c r="C126" s="37"/>
      <c r="D126" s="31" t="str">
        <f aca="false">IF($C126="","",IFERROR(INDEX(Employee_Master!$B$5:$B$104,MATCH($C126,Employee_Master!$A$5:$A$104,0)),"ID not found"))</f>
        <v/>
      </c>
      <c r="E126" s="31" t="str">
        <f aca="false">IF($C126="","",IFERROR(INDEX(Employee_Master!$C$5:$C$104,MATCH($C126,Employee_Master!$A$5:$A$104,0)),"ID not found"))</f>
        <v/>
      </c>
      <c r="F126" s="37"/>
      <c r="G126" s="37"/>
      <c r="H126" s="37"/>
      <c r="I126" s="12"/>
      <c r="J126" s="37"/>
      <c r="K126" s="31" t="str">
        <f aca="false">IF(J126="","",IFERROR(INDEX(Reference_Data!$T$5:$T$14,MATCH(J126,Reference_Data!$S$5:$S$14,0)),0))</f>
        <v/>
      </c>
      <c r="L126" s="38"/>
      <c r="M126" s="38"/>
      <c r="N126" s="38"/>
      <c r="O126" s="37"/>
      <c r="P126" s="37"/>
      <c r="Q126" s="37"/>
      <c r="R126" s="38"/>
      <c r="S126" s="37"/>
      <c r="T126" s="31" t="n">
        <f aca="false">IF(OR(K126="",N126="",S126="Voided / Rescinded"),0,K126)</f>
        <v>0</v>
      </c>
      <c r="U126" s="12"/>
    </row>
    <row r="127" customFormat="false" ht="15" hidden="false" customHeight="false" outlineLevel="0" collapsed="false">
      <c r="A127" s="37"/>
      <c r="B127" s="38"/>
      <c r="C127" s="37"/>
      <c r="D127" s="31" t="str">
        <f aca="false">IF($C127="","",IFERROR(INDEX(Employee_Master!$B$5:$B$104,MATCH($C127,Employee_Master!$A$5:$A$104,0)),"ID not found"))</f>
        <v/>
      </c>
      <c r="E127" s="31" t="str">
        <f aca="false">IF($C127="","",IFERROR(INDEX(Employee_Master!$C$5:$C$104,MATCH($C127,Employee_Master!$A$5:$A$104,0)),"ID not found"))</f>
        <v/>
      </c>
      <c r="F127" s="37"/>
      <c r="G127" s="37"/>
      <c r="H127" s="37"/>
      <c r="I127" s="12"/>
      <c r="J127" s="37"/>
      <c r="K127" s="31" t="str">
        <f aca="false">IF(J127="","",IFERROR(INDEX(Reference_Data!$T$5:$T$14,MATCH(J127,Reference_Data!$S$5:$S$14,0)),0))</f>
        <v/>
      </c>
      <c r="L127" s="38"/>
      <c r="M127" s="38"/>
      <c r="N127" s="38"/>
      <c r="O127" s="37"/>
      <c r="P127" s="37"/>
      <c r="Q127" s="37"/>
      <c r="R127" s="38"/>
      <c r="S127" s="37"/>
      <c r="T127" s="31" t="n">
        <f aca="false">IF(OR(K127="",N127="",S127="Voided / Rescinded"),0,K127)</f>
        <v>0</v>
      </c>
      <c r="U127" s="12"/>
    </row>
    <row r="128" customFormat="false" ht="15" hidden="false" customHeight="false" outlineLevel="0" collapsed="false">
      <c r="A128" s="37"/>
      <c r="B128" s="38"/>
      <c r="C128" s="37"/>
      <c r="D128" s="31" t="str">
        <f aca="false">IF($C128="","",IFERROR(INDEX(Employee_Master!$B$5:$B$104,MATCH($C128,Employee_Master!$A$5:$A$104,0)),"ID not found"))</f>
        <v/>
      </c>
      <c r="E128" s="31" t="str">
        <f aca="false">IF($C128="","",IFERROR(INDEX(Employee_Master!$C$5:$C$104,MATCH($C128,Employee_Master!$A$5:$A$104,0)),"ID not found"))</f>
        <v/>
      </c>
      <c r="F128" s="37"/>
      <c r="G128" s="37"/>
      <c r="H128" s="37"/>
      <c r="I128" s="12"/>
      <c r="J128" s="37"/>
      <c r="K128" s="31" t="str">
        <f aca="false">IF(J128="","",IFERROR(INDEX(Reference_Data!$T$5:$T$14,MATCH(J128,Reference_Data!$S$5:$S$14,0)),0))</f>
        <v/>
      </c>
      <c r="L128" s="38"/>
      <c r="M128" s="38"/>
      <c r="N128" s="38"/>
      <c r="O128" s="37"/>
      <c r="P128" s="37"/>
      <c r="Q128" s="37"/>
      <c r="R128" s="38"/>
      <c r="S128" s="37"/>
      <c r="T128" s="31" t="n">
        <f aca="false">IF(OR(K128="",N128="",S128="Voided / Rescinded"),0,K128)</f>
        <v>0</v>
      </c>
      <c r="U128" s="12"/>
    </row>
    <row r="129" customFormat="false" ht="15" hidden="false" customHeight="false" outlineLevel="0" collapsed="false">
      <c r="A129" s="37"/>
      <c r="B129" s="38"/>
      <c r="C129" s="37"/>
      <c r="D129" s="31" t="str">
        <f aca="false">IF($C129="","",IFERROR(INDEX(Employee_Master!$B$5:$B$104,MATCH($C129,Employee_Master!$A$5:$A$104,0)),"ID not found"))</f>
        <v/>
      </c>
      <c r="E129" s="31" t="str">
        <f aca="false">IF($C129="","",IFERROR(INDEX(Employee_Master!$C$5:$C$104,MATCH($C129,Employee_Master!$A$5:$A$104,0)),"ID not found"))</f>
        <v/>
      </c>
      <c r="F129" s="37"/>
      <c r="G129" s="37"/>
      <c r="H129" s="37"/>
      <c r="I129" s="12"/>
      <c r="J129" s="37"/>
      <c r="K129" s="31" t="str">
        <f aca="false">IF(J129="","",IFERROR(INDEX(Reference_Data!$T$5:$T$14,MATCH(J129,Reference_Data!$S$5:$S$14,0)),0))</f>
        <v/>
      </c>
      <c r="L129" s="38"/>
      <c r="M129" s="38"/>
      <c r="N129" s="38"/>
      <c r="O129" s="37"/>
      <c r="P129" s="37"/>
      <c r="Q129" s="37"/>
      <c r="R129" s="38"/>
      <c r="S129" s="37"/>
      <c r="T129" s="31" t="n">
        <f aca="false">IF(OR(K129="",N129="",S129="Voided / Rescinded"),0,K129)</f>
        <v>0</v>
      </c>
      <c r="U129" s="12"/>
    </row>
    <row r="130" customFormat="false" ht="15" hidden="false" customHeight="false" outlineLevel="0" collapsed="false">
      <c r="A130" s="37"/>
      <c r="B130" s="38"/>
      <c r="C130" s="37"/>
      <c r="D130" s="31" t="str">
        <f aca="false">IF($C130="","",IFERROR(INDEX(Employee_Master!$B$5:$B$104,MATCH($C130,Employee_Master!$A$5:$A$104,0)),"ID not found"))</f>
        <v/>
      </c>
      <c r="E130" s="31" t="str">
        <f aca="false">IF($C130="","",IFERROR(INDEX(Employee_Master!$C$5:$C$104,MATCH($C130,Employee_Master!$A$5:$A$104,0)),"ID not found"))</f>
        <v/>
      </c>
      <c r="F130" s="37"/>
      <c r="G130" s="37"/>
      <c r="H130" s="37"/>
      <c r="I130" s="12"/>
      <c r="J130" s="37"/>
      <c r="K130" s="31" t="str">
        <f aca="false">IF(J130="","",IFERROR(INDEX(Reference_Data!$T$5:$T$14,MATCH(J130,Reference_Data!$S$5:$S$14,0)),0))</f>
        <v/>
      </c>
      <c r="L130" s="38"/>
      <c r="M130" s="38"/>
      <c r="N130" s="38"/>
      <c r="O130" s="37"/>
      <c r="P130" s="37"/>
      <c r="Q130" s="37"/>
      <c r="R130" s="38"/>
      <c r="S130" s="37"/>
      <c r="T130" s="31" t="n">
        <f aca="false">IF(OR(K130="",N130="",S130="Voided / Rescinded"),0,K130)</f>
        <v>0</v>
      </c>
      <c r="U130" s="12"/>
    </row>
    <row r="131" customFormat="false" ht="15" hidden="false" customHeight="false" outlineLevel="0" collapsed="false">
      <c r="A131" s="37"/>
      <c r="B131" s="38"/>
      <c r="C131" s="37"/>
      <c r="D131" s="31" t="str">
        <f aca="false">IF($C131="","",IFERROR(INDEX(Employee_Master!$B$5:$B$104,MATCH($C131,Employee_Master!$A$5:$A$104,0)),"ID not found"))</f>
        <v/>
      </c>
      <c r="E131" s="31" t="str">
        <f aca="false">IF($C131="","",IFERROR(INDEX(Employee_Master!$C$5:$C$104,MATCH($C131,Employee_Master!$A$5:$A$104,0)),"ID not found"))</f>
        <v/>
      </c>
      <c r="F131" s="37"/>
      <c r="G131" s="37"/>
      <c r="H131" s="37"/>
      <c r="I131" s="12"/>
      <c r="J131" s="37"/>
      <c r="K131" s="31" t="str">
        <f aca="false">IF(J131="","",IFERROR(INDEX(Reference_Data!$T$5:$T$14,MATCH(J131,Reference_Data!$S$5:$S$14,0)),0))</f>
        <v/>
      </c>
      <c r="L131" s="38"/>
      <c r="M131" s="38"/>
      <c r="N131" s="38"/>
      <c r="O131" s="37"/>
      <c r="P131" s="37"/>
      <c r="Q131" s="37"/>
      <c r="R131" s="38"/>
      <c r="S131" s="37"/>
      <c r="T131" s="31" t="n">
        <f aca="false">IF(OR(K131="",N131="",S131="Voided / Rescinded"),0,K131)</f>
        <v>0</v>
      </c>
      <c r="U131" s="12"/>
    </row>
    <row r="132" customFormat="false" ht="15" hidden="false" customHeight="false" outlineLevel="0" collapsed="false">
      <c r="A132" s="37"/>
      <c r="B132" s="38"/>
      <c r="C132" s="37"/>
      <c r="D132" s="31" t="str">
        <f aca="false">IF($C132="","",IFERROR(INDEX(Employee_Master!$B$5:$B$104,MATCH($C132,Employee_Master!$A$5:$A$104,0)),"ID not found"))</f>
        <v/>
      </c>
      <c r="E132" s="31" t="str">
        <f aca="false">IF($C132="","",IFERROR(INDEX(Employee_Master!$C$5:$C$104,MATCH($C132,Employee_Master!$A$5:$A$104,0)),"ID not found"))</f>
        <v/>
      </c>
      <c r="F132" s="37"/>
      <c r="G132" s="37"/>
      <c r="H132" s="37"/>
      <c r="I132" s="12"/>
      <c r="J132" s="37"/>
      <c r="K132" s="31" t="str">
        <f aca="false">IF(J132="","",IFERROR(INDEX(Reference_Data!$T$5:$T$14,MATCH(J132,Reference_Data!$S$5:$S$14,0)),0))</f>
        <v/>
      </c>
      <c r="L132" s="38"/>
      <c r="M132" s="38"/>
      <c r="N132" s="38"/>
      <c r="O132" s="37"/>
      <c r="P132" s="37"/>
      <c r="Q132" s="37"/>
      <c r="R132" s="38"/>
      <c r="S132" s="37"/>
      <c r="T132" s="31" t="n">
        <f aca="false">IF(OR(K132="",N132="",S132="Voided / Rescinded"),0,K132)</f>
        <v>0</v>
      </c>
      <c r="U132" s="12"/>
    </row>
    <row r="133" customFormat="false" ht="15" hidden="false" customHeight="false" outlineLevel="0" collapsed="false">
      <c r="A133" s="37"/>
      <c r="B133" s="38"/>
      <c r="C133" s="37"/>
      <c r="D133" s="31" t="str">
        <f aca="false">IF($C133="","",IFERROR(INDEX(Employee_Master!$B$5:$B$104,MATCH($C133,Employee_Master!$A$5:$A$104,0)),"ID not found"))</f>
        <v/>
      </c>
      <c r="E133" s="31" t="str">
        <f aca="false">IF($C133="","",IFERROR(INDEX(Employee_Master!$C$5:$C$104,MATCH($C133,Employee_Master!$A$5:$A$104,0)),"ID not found"))</f>
        <v/>
      </c>
      <c r="F133" s="37"/>
      <c r="G133" s="37"/>
      <c r="H133" s="37"/>
      <c r="I133" s="12"/>
      <c r="J133" s="37"/>
      <c r="K133" s="31" t="str">
        <f aca="false">IF(J133="","",IFERROR(INDEX(Reference_Data!$T$5:$T$14,MATCH(J133,Reference_Data!$S$5:$S$14,0)),0))</f>
        <v/>
      </c>
      <c r="L133" s="38"/>
      <c r="M133" s="38"/>
      <c r="N133" s="38"/>
      <c r="O133" s="37"/>
      <c r="P133" s="37"/>
      <c r="Q133" s="37"/>
      <c r="R133" s="38"/>
      <c r="S133" s="37"/>
      <c r="T133" s="31" t="n">
        <f aca="false">IF(OR(K133="",N133="",S133="Voided / Rescinded"),0,K133)</f>
        <v>0</v>
      </c>
      <c r="U133" s="12"/>
    </row>
    <row r="134" customFormat="false" ht="15" hidden="false" customHeight="false" outlineLevel="0" collapsed="false">
      <c r="A134" s="37"/>
      <c r="B134" s="38"/>
      <c r="C134" s="37"/>
      <c r="D134" s="31" t="str">
        <f aca="false">IF($C134="","",IFERROR(INDEX(Employee_Master!$B$5:$B$104,MATCH($C134,Employee_Master!$A$5:$A$104,0)),"ID not found"))</f>
        <v/>
      </c>
      <c r="E134" s="31" t="str">
        <f aca="false">IF($C134="","",IFERROR(INDEX(Employee_Master!$C$5:$C$104,MATCH($C134,Employee_Master!$A$5:$A$104,0)),"ID not found"))</f>
        <v/>
      </c>
      <c r="F134" s="37"/>
      <c r="G134" s="37"/>
      <c r="H134" s="37"/>
      <c r="I134" s="12"/>
      <c r="J134" s="37"/>
      <c r="K134" s="31" t="str">
        <f aca="false">IF(J134="","",IFERROR(INDEX(Reference_Data!$T$5:$T$14,MATCH(J134,Reference_Data!$S$5:$S$14,0)),0))</f>
        <v/>
      </c>
      <c r="L134" s="38"/>
      <c r="M134" s="38"/>
      <c r="N134" s="38"/>
      <c r="O134" s="37"/>
      <c r="P134" s="37"/>
      <c r="Q134" s="37"/>
      <c r="R134" s="38"/>
      <c r="S134" s="37"/>
      <c r="T134" s="31" t="n">
        <f aca="false">IF(OR(K134="",N134="",S134="Voided / Rescinded"),0,K134)</f>
        <v>0</v>
      </c>
      <c r="U134" s="12"/>
    </row>
    <row r="135" customFormat="false" ht="15" hidden="false" customHeight="false" outlineLevel="0" collapsed="false">
      <c r="A135" s="37"/>
      <c r="B135" s="38"/>
      <c r="C135" s="37"/>
      <c r="D135" s="31" t="str">
        <f aca="false">IF($C135="","",IFERROR(INDEX(Employee_Master!$B$5:$B$104,MATCH($C135,Employee_Master!$A$5:$A$104,0)),"ID not found"))</f>
        <v/>
      </c>
      <c r="E135" s="31" t="str">
        <f aca="false">IF($C135="","",IFERROR(INDEX(Employee_Master!$C$5:$C$104,MATCH($C135,Employee_Master!$A$5:$A$104,0)),"ID not found"))</f>
        <v/>
      </c>
      <c r="F135" s="37"/>
      <c r="G135" s="37"/>
      <c r="H135" s="37"/>
      <c r="I135" s="12"/>
      <c r="J135" s="37"/>
      <c r="K135" s="31" t="str">
        <f aca="false">IF(J135="","",IFERROR(INDEX(Reference_Data!$T$5:$T$14,MATCH(J135,Reference_Data!$S$5:$S$14,0)),0))</f>
        <v/>
      </c>
      <c r="L135" s="38"/>
      <c r="M135" s="38"/>
      <c r="N135" s="38"/>
      <c r="O135" s="37"/>
      <c r="P135" s="37"/>
      <c r="Q135" s="37"/>
      <c r="R135" s="38"/>
      <c r="S135" s="37"/>
      <c r="T135" s="31" t="n">
        <f aca="false">IF(OR(K135="",N135="",S135="Voided / Rescinded"),0,K135)</f>
        <v>0</v>
      </c>
      <c r="U135" s="12"/>
    </row>
    <row r="136" customFormat="false" ht="15" hidden="false" customHeight="false" outlineLevel="0" collapsed="false">
      <c r="A136" s="37"/>
      <c r="B136" s="38"/>
      <c r="C136" s="37"/>
      <c r="D136" s="31" t="str">
        <f aca="false">IF($C136="","",IFERROR(INDEX(Employee_Master!$B$5:$B$104,MATCH($C136,Employee_Master!$A$5:$A$104,0)),"ID not found"))</f>
        <v/>
      </c>
      <c r="E136" s="31" t="str">
        <f aca="false">IF($C136="","",IFERROR(INDEX(Employee_Master!$C$5:$C$104,MATCH($C136,Employee_Master!$A$5:$A$104,0)),"ID not found"))</f>
        <v/>
      </c>
      <c r="F136" s="37"/>
      <c r="G136" s="37"/>
      <c r="H136" s="37"/>
      <c r="I136" s="12"/>
      <c r="J136" s="37"/>
      <c r="K136" s="31" t="str">
        <f aca="false">IF(J136="","",IFERROR(INDEX(Reference_Data!$T$5:$T$14,MATCH(J136,Reference_Data!$S$5:$S$14,0)),0))</f>
        <v/>
      </c>
      <c r="L136" s="38"/>
      <c r="M136" s="38"/>
      <c r="N136" s="38"/>
      <c r="O136" s="37"/>
      <c r="P136" s="37"/>
      <c r="Q136" s="37"/>
      <c r="R136" s="38"/>
      <c r="S136" s="37"/>
      <c r="T136" s="31" t="n">
        <f aca="false">IF(OR(K136="",N136="",S136="Voided / Rescinded"),0,K136)</f>
        <v>0</v>
      </c>
      <c r="U136" s="12"/>
    </row>
    <row r="137" customFormat="false" ht="15" hidden="false" customHeight="false" outlineLevel="0" collapsed="false">
      <c r="A137" s="37"/>
      <c r="B137" s="38"/>
      <c r="C137" s="37"/>
      <c r="D137" s="31" t="str">
        <f aca="false">IF($C137="","",IFERROR(INDEX(Employee_Master!$B$5:$B$104,MATCH($C137,Employee_Master!$A$5:$A$104,0)),"ID not found"))</f>
        <v/>
      </c>
      <c r="E137" s="31" t="str">
        <f aca="false">IF($C137="","",IFERROR(INDEX(Employee_Master!$C$5:$C$104,MATCH($C137,Employee_Master!$A$5:$A$104,0)),"ID not found"))</f>
        <v/>
      </c>
      <c r="F137" s="37"/>
      <c r="G137" s="37"/>
      <c r="H137" s="37"/>
      <c r="I137" s="12"/>
      <c r="J137" s="37"/>
      <c r="K137" s="31" t="str">
        <f aca="false">IF(J137="","",IFERROR(INDEX(Reference_Data!$T$5:$T$14,MATCH(J137,Reference_Data!$S$5:$S$14,0)),0))</f>
        <v/>
      </c>
      <c r="L137" s="38"/>
      <c r="M137" s="38"/>
      <c r="N137" s="38"/>
      <c r="O137" s="37"/>
      <c r="P137" s="37"/>
      <c r="Q137" s="37"/>
      <c r="R137" s="38"/>
      <c r="S137" s="37"/>
      <c r="T137" s="31" t="n">
        <f aca="false">IF(OR(K137="",N137="",S137="Voided / Rescinded"),0,K137)</f>
        <v>0</v>
      </c>
      <c r="U137" s="12"/>
    </row>
    <row r="138" customFormat="false" ht="15" hidden="false" customHeight="false" outlineLevel="0" collapsed="false">
      <c r="A138" s="37"/>
      <c r="B138" s="38"/>
      <c r="C138" s="37"/>
      <c r="D138" s="31" t="str">
        <f aca="false">IF($C138="","",IFERROR(INDEX(Employee_Master!$B$5:$B$104,MATCH($C138,Employee_Master!$A$5:$A$104,0)),"ID not found"))</f>
        <v/>
      </c>
      <c r="E138" s="31" t="str">
        <f aca="false">IF($C138="","",IFERROR(INDEX(Employee_Master!$C$5:$C$104,MATCH($C138,Employee_Master!$A$5:$A$104,0)),"ID not found"))</f>
        <v/>
      </c>
      <c r="F138" s="37"/>
      <c r="G138" s="37"/>
      <c r="H138" s="37"/>
      <c r="I138" s="12"/>
      <c r="J138" s="37"/>
      <c r="K138" s="31" t="str">
        <f aca="false">IF(J138="","",IFERROR(INDEX(Reference_Data!$T$5:$T$14,MATCH(J138,Reference_Data!$S$5:$S$14,0)),0))</f>
        <v/>
      </c>
      <c r="L138" s="38"/>
      <c r="M138" s="38"/>
      <c r="N138" s="38"/>
      <c r="O138" s="37"/>
      <c r="P138" s="37"/>
      <c r="Q138" s="37"/>
      <c r="R138" s="38"/>
      <c r="S138" s="37"/>
      <c r="T138" s="31" t="n">
        <f aca="false">IF(OR(K138="",N138="",S138="Voided / Rescinded"),0,K138)</f>
        <v>0</v>
      </c>
      <c r="U138" s="12"/>
    </row>
    <row r="139" customFormat="false" ht="15" hidden="false" customHeight="false" outlineLevel="0" collapsed="false">
      <c r="A139" s="37"/>
      <c r="B139" s="38"/>
      <c r="C139" s="37"/>
      <c r="D139" s="31" t="str">
        <f aca="false">IF($C139="","",IFERROR(INDEX(Employee_Master!$B$5:$B$104,MATCH($C139,Employee_Master!$A$5:$A$104,0)),"ID not found"))</f>
        <v/>
      </c>
      <c r="E139" s="31" t="str">
        <f aca="false">IF($C139="","",IFERROR(INDEX(Employee_Master!$C$5:$C$104,MATCH($C139,Employee_Master!$A$5:$A$104,0)),"ID not found"))</f>
        <v/>
      </c>
      <c r="F139" s="37"/>
      <c r="G139" s="37"/>
      <c r="H139" s="37"/>
      <c r="I139" s="12"/>
      <c r="J139" s="37"/>
      <c r="K139" s="31" t="str">
        <f aca="false">IF(J139="","",IFERROR(INDEX(Reference_Data!$T$5:$T$14,MATCH(J139,Reference_Data!$S$5:$S$14,0)),0))</f>
        <v/>
      </c>
      <c r="L139" s="38"/>
      <c r="M139" s="38"/>
      <c r="N139" s="38"/>
      <c r="O139" s="37"/>
      <c r="P139" s="37"/>
      <c r="Q139" s="37"/>
      <c r="R139" s="38"/>
      <c r="S139" s="37"/>
      <c r="T139" s="31" t="n">
        <f aca="false">IF(OR(K139="",N139="",S139="Voided / Rescinded"),0,K139)</f>
        <v>0</v>
      </c>
      <c r="U139" s="12"/>
    </row>
    <row r="140" customFormat="false" ht="15" hidden="false" customHeight="false" outlineLevel="0" collapsed="false">
      <c r="A140" s="37"/>
      <c r="B140" s="38"/>
      <c r="C140" s="37"/>
      <c r="D140" s="31" t="str">
        <f aca="false">IF($C140="","",IFERROR(INDEX(Employee_Master!$B$5:$B$104,MATCH($C140,Employee_Master!$A$5:$A$104,0)),"ID not found"))</f>
        <v/>
      </c>
      <c r="E140" s="31" t="str">
        <f aca="false">IF($C140="","",IFERROR(INDEX(Employee_Master!$C$5:$C$104,MATCH($C140,Employee_Master!$A$5:$A$104,0)),"ID not found"))</f>
        <v/>
      </c>
      <c r="F140" s="37"/>
      <c r="G140" s="37"/>
      <c r="H140" s="37"/>
      <c r="I140" s="12"/>
      <c r="J140" s="37"/>
      <c r="K140" s="31" t="str">
        <f aca="false">IF(J140="","",IFERROR(INDEX(Reference_Data!$T$5:$T$14,MATCH(J140,Reference_Data!$S$5:$S$14,0)),0))</f>
        <v/>
      </c>
      <c r="L140" s="38"/>
      <c r="M140" s="38"/>
      <c r="N140" s="38"/>
      <c r="O140" s="37"/>
      <c r="P140" s="37"/>
      <c r="Q140" s="37"/>
      <c r="R140" s="38"/>
      <c r="S140" s="37"/>
      <c r="T140" s="31" t="n">
        <f aca="false">IF(OR(K140="",N140="",S140="Voided / Rescinded"),0,K140)</f>
        <v>0</v>
      </c>
      <c r="U140" s="12"/>
    </row>
    <row r="141" customFormat="false" ht="15" hidden="false" customHeight="false" outlineLevel="0" collapsed="false">
      <c r="A141" s="37"/>
      <c r="B141" s="38"/>
      <c r="C141" s="37"/>
      <c r="D141" s="31" t="str">
        <f aca="false">IF($C141="","",IFERROR(INDEX(Employee_Master!$B$5:$B$104,MATCH($C141,Employee_Master!$A$5:$A$104,0)),"ID not found"))</f>
        <v/>
      </c>
      <c r="E141" s="31" t="str">
        <f aca="false">IF($C141="","",IFERROR(INDEX(Employee_Master!$C$5:$C$104,MATCH($C141,Employee_Master!$A$5:$A$104,0)),"ID not found"))</f>
        <v/>
      </c>
      <c r="F141" s="37"/>
      <c r="G141" s="37"/>
      <c r="H141" s="37"/>
      <c r="I141" s="12"/>
      <c r="J141" s="37"/>
      <c r="K141" s="31" t="str">
        <f aca="false">IF(J141="","",IFERROR(INDEX(Reference_Data!$T$5:$T$14,MATCH(J141,Reference_Data!$S$5:$S$14,0)),0))</f>
        <v/>
      </c>
      <c r="L141" s="38"/>
      <c r="M141" s="38"/>
      <c r="N141" s="38"/>
      <c r="O141" s="37"/>
      <c r="P141" s="37"/>
      <c r="Q141" s="37"/>
      <c r="R141" s="38"/>
      <c r="S141" s="37"/>
      <c r="T141" s="31" t="n">
        <f aca="false">IF(OR(K141="",N141="",S141="Voided / Rescinded"),0,K141)</f>
        <v>0</v>
      </c>
      <c r="U141" s="12"/>
    </row>
    <row r="142" customFormat="false" ht="15" hidden="false" customHeight="false" outlineLevel="0" collapsed="false">
      <c r="A142" s="37"/>
      <c r="B142" s="38"/>
      <c r="C142" s="37"/>
      <c r="D142" s="31" t="str">
        <f aca="false">IF($C142="","",IFERROR(INDEX(Employee_Master!$B$5:$B$104,MATCH($C142,Employee_Master!$A$5:$A$104,0)),"ID not found"))</f>
        <v/>
      </c>
      <c r="E142" s="31" t="str">
        <f aca="false">IF($C142="","",IFERROR(INDEX(Employee_Master!$C$5:$C$104,MATCH($C142,Employee_Master!$A$5:$A$104,0)),"ID not found"))</f>
        <v/>
      </c>
      <c r="F142" s="37"/>
      <c r="G142" s="37"/>
      <c r="H142" s="37"/>
      <c r="I142" s="12"/>
      <c r="J142" s="37"/>
      <c r="K142" s="31" t="str">
        <f aca="false">IF(J142="","",IFERROR(INDEX(Reference_Data!$T$5:$T$14,MATCH(J142,Reference_Data!$S$5:$S$14,0)),0))</f>
        <v/>
      </c>
      <c r="L142" s="38"/>
      <c r="M142" s="38"/>
      <c r="N142" s="38"/>
      <c r="O142" s="37"/>
      <c r="P142" s="37"/>
      <c r="Q142" s="37"/>
      <c r="R142" s="38"/>
      <c r="S142" s="37"/>
      <c r="T142" s="31" t="n">
        <f aca="false">IF(OR(K142="",N142="",S142="Voided / Rescinded"),0,K142)</f>
        <v>0</v>
      </c>
      <c r="U142" s="12"/>
    </row>
    <row r="143" customFormat="false" ht="15" hidden="false" customHeight="false" outlineLevel="0" collapsed="false">
      <c r="A143" s="37"/>
      <c r="B143" s="38"/>
      <c r="C143" s="37"/>
      <c r="D143" s="31" t="str">
        <f aca="false">IF($C143="","",IFERROR(INDEX(Employee_Master!$B$5:$B$104,MATCH($C143,Employee_Master!$A$5:$A$104,0)),"ID not found"))</f>
        <v/>
      </c>
      <c r="E143" s="31" t="str">
        <f aca="false">IF($C143="","",IFERROR(INDEX(Employee_Master!$C$5:$C$104,MATCH($C143,Employee_Master!$A$5:$A$104,0)),"ID not found"))</f>
        <v/>
      </c>
      <c r="F143" s="37"/>
      <c r="G143" s="37"/>
      <c r="H143" s="37"/>
      <c r="I143" s="12"/>
      <c r="J143" s="37"/>
      <c r="K143" s="31" t="str">
        <f aca="false">IF(J143="","",IFERROR(INDEX(Reference_Data!$T$5:$T$14,MATCH(J143,Reference_Data!$S$5:$S$14,0)),0))</f>
        <v/>
      </c>
      <c r="L143" s="38"/>
      <c r="M143" s="38"/>
      <c r="N143" s="38"/>
      <c r="O143" s="37"/>
      <c r="P143" s="37"/>
      <c r="Q143" s="37"/>
      <c r="R143" s="38"/>
      <c r="S143" s="37"/>
      <c r="T143" s="31" t="n">
        <f aca="false">IF(OR(K143="",N143="",S143="Voided / Rescinded"),0,K143)</f>
        <v>0</v>
      </c>
      <c r="U143" s="12"/>
    </row>
    <row r="144" customFormat="false" ht="15" hidden="false" customHeight="false" outlineLevel="0" collapsed="false">
      <c r="A144" s="37"/>
      <c r="B144" s="38"/>
      <c r="C144" s="37"/>
      <c r="D144" s="31" t="str">
        <f aca="false">IF($C144="","",IFERROR(INDEX(Employee_Master!$B$5:$B$104,MATCH($C144,Employee_Master!$A$5:$A$104,0)),"ID not found"))</f>
        <v/>
      </c>
      <c r="E144" s="31" t="str">
        <f aca="false">IF($C144="","",IFERROR(INDEX(Employee_Master!$C$5:$C$104,MATCH($C144,Employee_Master!$A$5:$A$104,0)),"ID not found"))</f>
        <v/>
      </c>
      <c r="F144" s="37"/>
      <c r="G144" s="37"/>
      <c r="H144" s="37"/>
      <c r="I144" s="12"/>
      <c r="J144" s="37"/>
      <c r="K144" s="31" t="str">
        <f aca="false">IF(J144="","",IFERROR(INDEX(Reference_Data!$T$5:$T$14,MATCH(J144,Reference_Data!$S$5:$S$14,0)),0))</f>
        <v/>
      </c>
      <c r="L144" s="38"/>
      <c r="M144" s="38"/>
      <c r="N144" s="38"/>
      <c r="O144" s="37"/>
      <c r="P144" s="37"/>
      <c r="Q144" s="37"/>
      <c r="R144" s="38"/>
      <c r="S144" s="37"/>
      <c r="T144" s="31" t="n">
        <f aca="false">IF(OR(K144="",N144="",S144="Voided / Rescinded"),0,K144)</f>
        <v>0</v>
      </c>
      <c r="U144" s="12"/>
    </row>
    <row r="145" customFormat="false" ht="15" hidden="false" customHeight="false" outlineLevel="0" collapsed="false">
      <c r="A145" s="37"/>
      <c r="B145" s="38"/>
      <c r="C145" s="37"/>
      <c r="D145" s="31" t="str">
        <f aca="false">IF($C145="","",IFERROR(INDEX(Employee_Master!$B$5:$B$104,MATCH($C145,Employee_Master!$A$5:$A$104,0)),"ID not found"))</f>
        <v/>
      </c>
      <c r="E145" s="31" t="str">
        <f aca="false">IF($C145="","",IFERROR(INDEX(Employee_Master!$C$5:$C$104,MATCH($C145,Employee_Master!$A$5:$A$104,0)),"ID not found"))</f>
        <v/>
      </c>
      <c r="F145" s="37"/>
      <c r="G145" s="37"/>
      <c r="H145" s="37"/>
      <c r="I145" s="12"/>
      <c r="J145" s="37"/>
      <c r="K145" s="31" t="str">
        <f aca="false">IF(J145="","",IFERROR(INDEX(Reference_Data!$T$5:$T$14,MATCH(J145,Reference_Data!$S$5:$S$14,0)),0))</f>
        <v/>
      </c>
      <c r="L145" s="38"/>
      <c r="M145" s="38"/>
      <c r="N145" s="38"/>
      <c r="O145" s="37"/>
      <c r="P145" s="37"/>
      <c r="Q145" s="37"/>
      <c r="R145" s="38"/>
      <c r="S145" s="37"/>
      <c r="T145" s="31" t="n">
        <f aca="false">IF(OR(K145="",N145="",S145="Voided / Rescinded"),0,K145)</f>
        <v>0</v>
      </c>
      <c r="U145" s="12"/>
    </row>
    <row r="146" customFormat="false" ht="15" hidden="false" customHeight="false" outlineLevel="0" collapsed="false">
      <c r="A146" s="37"/>
      <c r="B146" s="38"/>
      <c r="C146" s="37"/>
      <c r="D146" s="31" t="str">
        <f aca="false">IF($C146="","",IFERROR(INDEX(Employee_Master!$B$5:$B$104,MATCH($C146,Employee_Master!$A$5:$A$104,0)),"ID not found"))</f>
        <v/>
      </c>
      <c r="E146" s="31" t="str">
        <f aca="false">IF($C146="","",IFERROR(INDEX(Employee_Master!$C$5:$C$104,MATCH($C146,Employee_Master!$A$5:$A$104,0)),"ID not found"))</f>
        <v/>
      </c>
      <c r="F146" s="37"/>
      <c r="G146" s="37"/>
      <c r="H146" s="37"/>
      <c r="I146" s="12"/>
      <c r="J146" s="37"/>
      <c r="K146" s="31" t="str">
        <f aca="false">IF(J146="","",IFERROR(INDEX(Reference_Data!$T$5:$T$14,MATCH(J146,Reference_Data!$S$5:$S$14,0)),0))</f>
        <v/>
      </c>
      <c r="L146" s="38"/>
      <c r="M146" s="38"/>
      <c r="N146" s="38"/>
      <c r="O146" s="37"/>
      <c r="P146" s="37"/>
      <c r="Q146" s="37"/>
      <c r="R146" s="38"/>
      <c r="S146" s="37"/>
      <c r="T146" s="31" t="n">
        <f aca="false">IF(OR(K146="",N146="",S146="Voided / Rescinded"),0,K146)</f>
        <v>0</v>
      </c>
      <c r="U146" s="12"/>
    </row>
    <row r="147" customFormat="false" ht="15" hidden="false" customHeight="false" outlineLevel="0" collapsed="false">
      <c r="A147" s="37"/>
      <c r="B147" s="38"/>
      <c r="C147" s="37"/>
      <c r="D147" s="31" t="str">
        <f aca="false">IF($C147="","",IFERROR(INDEX(Employee_Master!$B$5:$B$104,MATCH($C147,Employee_Master!$A$5:$A$104,0)),"ID not found"))</f>
        <v/>
      </c>
      <c r="E147" s="31" t="str">
        <f aca="false">IF($C147="","",IFERROR(INDEX(Employee_Master!$C$5:$C$104,MATCH($C147,Employee_Master!$A$5:$A$104,0)),"ID not found"))</f>
        <v/>
      </c>
      <c r="F147" s="37"/>
      <c r="G147" s="37"/>
      <c r="H147" s="37"/>
      <c r="I147" s="12"/>
      <c r="J147" s="37"/>
      <c r="K147" s="31" t="str">
        <f aca="false">IF(J147="","",IFERROR(INDEX(Reference_Data!$T$5:$T$14,MATCH(J147,Reference_Data!$S$5:$S$14,0)),0))</f>
        <v/>
      </c>
      <c r="L147" s="38"/>
      <c r="M147" s="38"/>
      <c r="N147" s="38"/>
      <c r="O147" s="37"/>
      <c r="P147" s="37"/>
      <c r="Q147" s="37"/>
      <c r="R147" s="38"/>
      <c r="S147" s="37"/>
      <c r="T147" s="31" t="n">
        <f aca="false">IF(OR(K147="",N147="",S147="Voided / Rescinded"),0,K147)</f>
        <v>0</v>
      </c>
      <c r="U147" s="12"/>
    </row>
    <row r="148" customFormat="false" ht="15" hidden="false" customHeight="false" outlineLevel="0" collapsed="false">
      <c r="A148" s="37"/>
      <c r="B148" s="38"/>
      <c r="C148" s="37"/>
      <c r="D148" s="31" t="str">
        <f aca="false">IF($C148="","",IFERROR(INDEX(Employee_Master!$B$5:$B$104,MATCH($C148,Employee_Master!$A$5:$A$104,0)),"ID not found"))</f>
        <v/>
      </c>
      <c r="E148" s="31" t="str">
        <f aca="false">IF($C148="","",IFERROR(INDEX(Employee_Master!$C$5:$C$104,MATCH($C148,Employee_Master!$A$5:$A$104,0)),"ID not found"))</f>
        <v/>
      </c>
      <c r="F148" s="37"/>
      <c r="G148" s="37"/>
      <c r="H148" s="37"/>
      <c r="I148" s="12"/>
      <c r="J148" s="37"/>
      <c r="K148" s="31" t="str">
        <f aca="false">IF(J148="","",IFERROR(INDEX(Reference_Data!$T$5:$T$14,MATCH(J148,Reference_Data!$S$5:$S$14,0)),0))</f>
        <v/>
      </c>
      <c r="L148" s="38"/>
      <c r="M148" s="38"/>
      <c r="N148" s="38"/>
      <c r="O148" s="37"/>
      <c r="P148" s="37"/>
      <c r="Q148" s="37"/>
      <c r="R148" s="38"/>
      <c r="S148" s="37"/>
      <c r="T148" s="31" t="n">
        <f aca="false">IF(OR(K148="",N148="",S148="Voided / Rescinded"),0,K148)</f>
        <v>0</v>
      </c>
      <c r="U148" s="12"/>
    </row>
    <row r="149" customFormat="false" ht="15" hidden="false" customHeight="false" outlineLevel="0" collapsed="false">
      <c r="A149" s="37"/>
      <c r="B149" s="38"/>
      <c r="C149" s="37"/>
      <c r="D149" s="31" t="str">
        <f aca="false">IF($C149="","",IFERROR(INDEX(Employee_Master!$B$5:$B$104,MATCH($C149,Employee_Master!$A$5:$A$104,0)),"ID not found"))</f>
        <v/>
      </c>
      <c r="E149" s="31" t="str">
        <f aca="false">IF($C149="","",IFERROR(INDEX(Employee_Master!$C$5:$C$104,MATCH($C149,Employee_Master!$A$5:$A$104,0)),"ID not found"))</f>
        <v/>
      </c>
      <c r="F149" s="37"/>
      <c r="G149" s="37"/>
      <c r="H149" s="37"/>
      <c r="I149" s="12"/>
      <c r="J149" s="37"/>
      <c r="K149" s="31" t="str">
        <f aca="false">IF(J149="","",IFERROR(INDEX(Reference_Data!$T$5:$T$14,MATCH(J149,Reference_Data!$S$5:$S$14,0)),0))</f>
        <v/>
      </c>
      <c r="L149" s="38"/>
      <c r="M149" s="38"/>
      <c r="N149" s="38"/>
      <c r="O149" s="37"/>
      <c r="P149" s="37"/>
      <c r="Q149" s="37"/>
      <c r="R149" s="38"/>
      <c r="S149" s="37"/>
      <c r="T149" s="31" t="n">
        <f aca="false">IF(OR(K149="",N149="",S149="Voided / Rescinded"),0,K149)</f>
        <v>0</v>
      </c>
      <c r="U149" s="12"/>
    </row>
    <row r="150" customFormat="false" ht="15" hidden="false" customHeight="false" outlineLevel="0" collapsed="false">
      <c r="A150" s="37"/>
      <c r="B150" s="38"/>
      <c r="C150" s="37"/>
      <c r="D150" s="31" t="str">
        <f aca="false">IF($C150="","",IFERROR(INDEX(Employee_Master!$B$5:$B$104,MATCH($C150,Employee_Master!$A$5:$A$104,0)),"ID not found"))</f>
        <v/>
      </c>
      <c r="E150" s="31" t="str">
        <f aca="false">IF($C150="","",IFERROR(INDEX(Employee_Master!$C$5:$C$104,MATCH($C150,Employee_Master!$A$5:$A$104,0)),"ID not found"))</f>
        <v/>
      </c>
      <c r="F150" s="37"/>
      <c r="G150" s="37"/>
      <c r="H150" s="37"/>
      <c r="I150" s="12"/>
      <c r="J150" s="37"/>
      <c r="K150" s="31" t="str">
        <f aca="false">IF(J150="","",IFERROR(INDEX(Reference_Data!$T$5:$T$14,MATCH(J150,Reference_Data!$S$5:$S$14,0)),0))</f>
        <v/>
      </c>
      <c r="L150" s="38"/>
      <c r="M150" s="38"/>
      <c r="N150" s="38"/>
      <c r="O150" s="37"/>
      <c r="P150" s="37"/>
      <c r="Q150" s="37"/>
      <c r="R150" s="38"/>
      <c r="S150" s="37"/>
      <c r="T150" s="31" t="n">
        <f aca="false">IF(OR(K150="",N150="",S150="Voided / Rescinded"),0,K150)</f>
        <v>0</v>
      </c>
      <c r="U150" s="12"/>
    </row>
    <row r="151" customFormat="false" ht="15" hidden="false" customHeight="false" outlineLevel="0" collapsed="false">
      <c r="A151" s="37"/>
      <c r="B151" s="38"/>
      <c r="C151" s="37"/>
      <c r="D151" s="31" t="str">
        <f aca="false">IF($C151="","",IFERROR(INDEX(Employee_Master!$B$5:$B$104,MATCH($C151,Employee_Master!$A$5:$A$104,0)),"ID not found"))</f>
        <v/>
      </c>
      <c r="E151" s="31" t="str">
        <f aca="false">IF($C151="","",IFERROR(INDEX(Employee_Master!$C$5:$C$104,MATCH($C151,Employee_Master!$A$5:$A$104,0)),"ID not found"))</f>
        <v/>
      </c>
      <c r="F151" s="37"/>
      <c r="G151" s="37"/>
      <c r="H151" s="37"/>
      <c r="I151" s="12"/>
      <c r="J151" s="37"/>
      <c r="K151" s="31" t="str">
        <f aca="false">IF(J151="","",IFERROR(INDEX(Reference_Data!$T$5:$T$14,MATCH(J151,Reference_Data!$S$5:$S$14,0)),0))</f>
        <v/>
      </c>
      <c r="L151" s="38"/>
      <c r="M151" s="38"/>
      <c r="N151" s="38"/>
      <c r="O151" s="37"/>
      <c r="P151" s="37"/>
      <c r="Q151" s="37"/>
      <c r="R151" s="38"/>
      <c r="S151" s="37"/>
      <c r="T151" s="31" t="n">
        <f aca="false">IF(OR(K151="",N151="",S151="Voided / Rescinded"),0,K151)</f>
        <v>0</v>
      </c>
      <c r="U151" s="12"/>
    </row>
    <row r="152" customFormat="false" ht="15" hidden="false" customHeight="false" outlineLevel="0" collapsed="false">
      <c r="A152" s="37"/>
      <c r="B152" s="38"/>
      <c r="C152" s="37"/>
      <c r="D152" s="31" t="str">
        <f aca="false">IF($C152="","",IFERROR(INDEX(Employee_Master!$B$5:$B$104,MATCH($C152,Employee_Master!$A$5:$A$104,0)),"ID not found"))</f>
        <v/>
      </c>
      <c r="E152" s="31" t="str">
        <f aca="false">IF($C152="","",IFERROR(INDEX(Employee_Master!$C$5:$C$104,MATCH($C152,Employee_Master!$A$5:$A$104,0)),"ID not found"))</f>
        <v/>
      </c>
      <c r="F152" s="37"/>
      <c r="G152" s="37"/>
      <c r="H152" s="37"/>
      <c r="I152" s="12"/>
      <c r="J152" s="37"/>
      <c r="K152" s="31" t="str">
        <f aca="false">IF(J152="","",IFERROR(INDEX(Reference_Data!$T$5:$T$14,MATCH(J152,Reference_Data!$S$5:$S$14,0)),0))</f>
        <v/>
      </c>
      <c r="L152" s="38"/>
      <c r="M152" s="38"/>
      <c r="N152" s="38"/>
      <c r="O152" s="37"/>
      <c r="P152" s="37"/>
      <c r="Q152" s="37"/>
      <c r="R152" s="38"/>
      <c r="S152" s="37"/>
      <c r="T152" s="31" t="n">
        <f aca="false">IF(OR(K152="",N152="",S152="Voided / Rescinded"),0,K152)</f>
        <v>0</v>
      </c>
      <c r="U152" s="12"/>
    </row>
    <row r="153" customFormat="false" ht="15" hidden="false" customHeight="false" outlineLevel="0" collapsed="false">
      <c r="A153" s="37"/>
      <c r="B153" s="38"/>
      <c r="C153" s="37"/>
      <c r="D153" s="31" t="str">
        <f aca="false">IF($C153="","",IFERROR(INDEX(Employee_Master!$B$5:$B$104,MATCH($C153,Employee_Master!$A$5:$A$104,0)),"ID not found"))</f>
        <v/>
      </c>
      <c r="E153" s="31" t="str">
        <f aca="false">IF($C153="","",IFERROR(INDEX(Employee_Master!$C$5:$C$104,MATCH($C153,Employee_Master!$A$5:$A$104,0)),"ID not found"))</f>
        <v/>
      </c>
      <c r="F153" s="37"/>
      <c r="G153" s="37"/>
      <c r="H153" s="37"/>
      <c r="I153" s="12"/>
      <c r="J153" s="37"/>
      <c r="K153" s="31" t="str">
        <f aca="false">IF(J153="","",IFERROR(INDEX(Reference_Data!$T$5:$T$14,MATCH(J153,Reference_Data!$S$5:$S$14,0)),0))</f>
        <v/>
      </c>
      <c r="L153" s="38"/>
      <c r="M153" s="38"/>
      <c r="N153" s="38"/>
      <c r="O153" s="37"/>
      <c r="P153" s="37"/>
      <c r="Q153" s="37"/>
      <c r="R153" s="38"/>
      <c r="S153" s="37"/>
      <c r="T153" s="31" t="n">
        <f aca="false">IF(OR(K153="",N153="",S153="Voided / Rescinded"),0,K153)</f>
        <v>0</v>
      </c>
      <c r="U153" s="12"/>
    </row>
    <row r="154" customFormat="false" ht="15" hidden="false" customHeight="false" outlineLevel="0" collapsed="false">
      <c r="A154" s="37"/>
      <c r="B154" s="38"/>
      <c r="C154" s="37"/>
      <c r="D154" s="31" t="str">
        <f aca="false">IF($C154="","",IFERROR(INDEX(Employee_Master!$B$5:$B$104,MATCH($C154,Employee_Master!$A$5:$A$104,0)),"ID not found"))</f>
        <v/>
      </c>
      <c r="E154" s="31" t="str">
        <f aca="false">IF($C154="","",IFERROR(INDEX(Employee_Master!$C$5:$C$104,MATCH($C154,Employee_Master!$A$5:$A$104,0)),"ID not found"))</f>
        <v/>
      </c>
      <c r="F154" s="37"/>
      <c r="G154" s="37"/>
      <c r="H154" s="37"/>
      <c r="I154" s="12"/>
      <c r="J154" s="37"/>
      <c r="K154" s="31" t="str">
        <f aca="false">IF(J154="","",IFERROR(INDEX(Reference_Data!$T$5:$T$14,MATCH(J154,Reference_Data!$S$5:$S$14,0)),0))</f>
        <v/>
      </c>
      <c r="L154" s="38"/>
      <c r="M154" s="38"/>
      <c r="N154" s="38"/>
      <c r="O154" s="37"/>
      <c r="P154" s="37"/>
      <c r="Q154" s="37"/>
      <c r="R154" s="38"/>
      <c r="S154" s="37"/>
      <c r="T154" s="31" t="n">
        <f aca="false">IF(OR(K154="",N154="",S154="Voided / Rescinded"),0,K154)</f>
        <v>0</v>
      </c>
      <c r="U154" s="12"/>
    </row>
    <row r="155" customFormat="false" ht="15" hidden="false" customHeight="false" outlineLevel="0" collapsed="false">
      <c r="A155" s="37"/>
      <c r="B155" s="38"/>
      <c r="C155" s="37"/>
      <c r="D155" s="31" t="str">
        <f aca="false">IF($C155="","",IFERROR(INDEX(Employee_Master!$B$5:$B$104,MATCH($C155,Employee_Master!$A$5:$A$104,0)),"ID not found"))</f>
        <v/>
      </c>
      <c r="E155" s="31" t="str">
        <f aca="false">IF($C155="","",IFERROR(INDEX(Employee_Master!$C$5:$C$104,MATCH($C155,Employee_Master!$A$5:$A$104,0)),"ID not found"))</f>
        <v/>
      </c>
      <c r="F155" s="37"/>
      <c r="G155" s="37"/>
      <c r="H155" s="37"/>
      <c r="I155" s="12"/>
      <c r="J155" s="37"/>
      <c r="K155" s="31" t="str">
        <f aca="false">IF(J155="","",IFERROR(INDEX(Reference_Data!$T$5:$T$14,MATCH(J155,Reference_Data!$S$5:$S$14,0)),0))</f>
        <v/>
      </c>
      <c r="L155" s="38"/>
      <c r="M155" s="38"/>
      <c r="N155" s="38"/>
      <c r="O155" s="37"/>
      <c r="P155" s="37"/>
      <c r="Q155" s="37"/>
      <c r="R155" s="38"/>
      <c r="S155" s="37"/>
      <c r="T155" s="31" t="n">
        <f aca="false">IF(OR(K155="",N155="",S155="Voided / Rescinded"),0,K155)</f>
        <v>0</v>
      </c>
      <c r="U155" s="12"/>
    </row>
    <row r="156" customFormat="false" ht="15" hidden="false" customHeight="false" outlineLevel="0" collapsed="false">
      <c r="A156" s="37"/>
      <c r="B156" s="38"/>
      <c r="C156" s="37"/>
      <c r="D156" s="31" t="str">
        <f aca="false">IF($C156="","",IFERROR(INDEX(Employee_Master!$B$5:$B$104,MATCH($C156,Employee_Master!$A$5:$A$104,0)),"ID not found"))</f>
        <v/>
      </c>
      <c r="E156" s="31" t="str">
        <f aca="false">IF($C156="","",IFERROR(INDEX(Employee_Master!$C$5:$C$104,MATCH($C156,Employee_Master!$A$5:$A$104,0)),"ID not found"))</f>
        <v/>
      </c>
      <c r="F156" s="37"/>
      <c r="G156" s="37"/>
      <c r="H156" s="37"/>
      <c r="I156" s="12"/>
      <c r="J156" s="37"/>
      <c r="K156" s="31" t="str">
        <f aca="false">IF(J156="","",IFERROR(INDEX(Reference_Data!$T$5:$T$14,MATCH(J156,Reference_Data!$S$5:$S$14,0)),0))</f>
        <v/>
      </c>
      <c r="L156" s="38"/>
      <c r="M156" s="38"/>
      <c r="N156" s="38"/>
      <c r="O156" s="37"/>
      <c r="P156" s="37"/>
      <c r="Q156" s="37"/>
      <c r="R156" s="38"/>
      <c r="S156" s="37"/>
      <c r="T156" s="31" t="n">
        <f aca="false">IF(OR(K156="",N156="",S156="Voided / Rescinded"),0,K156)</f>
        <v>0</v>
      </c>
      <c r="U156" s="12"/>
    </row>
    <row r="157" customFormat="false" ht="15" hidden="false" customHeight="false" outlineLevel="0" collapsed="false">
      <c r="A157" s="37"/>
      <c r="B157" s="38"/>
      <c r="C157" s="37"/>
      <c r="D157" s="31" t="str">
        <f aca="false">IF($C157="","",IFERROR(INDEX(Employee_Master!$B$5:$B$104,MATCH($C157,Employee_Master!$A$5:$A$104,0)),"ID not found"))</f>
        <v/>
      </c>
      <c r="E157" s="31" t="str">
        <f aca="false">IF($C157="","",IFERROR(INDEX(Employee_Master!$C$5:$C$104,MATCH($C157,Employee_Master!$A$5:$A$104,0)),"ID not found"))</f>
        <v/>
      </c>
      <c r="F157" s="37"/>
      <c r="G157" s="37"/>
      <c r="H157" s="37"/>
      <c r="I157" s="12"/>
      <c r="J157" s="37"/>
      <c r="K157" s="31" t="str">
        <f aca="false">IF(J157="","",IFERROR(INDEX(Reference_Data!$T$5:$T$14,MATCH(J157,Reference_Data!$S$5:$S$14,0)),0))</f>
        <v/>
      </c>
      <c r="L157" s="38"/>
      <c r="M157" s="38"/>
      <c r="N157" s="38"/>
      <c r="O157" s="37"/>
      <c r="P157" s="37"/>
      <c r="Q157" s="37"/>
      <c r="R157" s="38"/>
      <c r="S157" s="37"/>
      <c r="T157" s="31" t="n">
        <f aca="false">IF(OR(K157="",N157="",S157="Voided / Rescinded"),0,K157)</f>
        <v>0</v>
      </c>
      <c r="U157" s="12"/>
    </row>
    <row r="158" customFormat="false" ht="15" hidden="false" customHeight="false" outlineLevel="0" collapsed="false">
      <c r="A158" s="37"/>
      <c r="B158" s="38"/>
      <c r="C158" s="37"/>
      <c r="D158" s="31" t="str">
        <f aca="false">IF($C158="","",IFERROR(INDEX(Employee_Master!$B$5:$B$104,MATCH($C158,Employee_Master!$A$5:$A$104,0)),"ID not found"))</f>
        <v/>
      </c>
      <c r="E158" s="31" t="str">
        <f aca="false">IF($C158="","",IFERROR(INDEX(Employee_Master!$C$5:$C$104,MATCH($C158,Employee_Master!$A$5:$A$104,0)),"ID not found"))</f>
        <v/>
      </c>
      <c r="F158" s="37"/>
      <c r="G158" s="37"/>
      <c r="H158" s="37"/>
      <c r="I158" s="12"/>
      <c r="J158" s="37"/>
      <c r="K158" s="31" t="str">
        <f aca="false">IF(J158="","",IFERROR(INDEX(Reference_Data!$T$5:$T$14,MATCH(J158,Reference_Data!$S$5:$S$14,0)),0))</f>
        <v/>
      </c>
      <c r="L158" s="38"/>
      <c r="M158" s="38"/>
      <c r="N158" s="38"/>
      <c r="O158" s="37"/>
      <c r="P158" s="37"/>
      <c r="Q158" s="37"/>
      <c r="R158" s="38"/>
      <c r="S158" s="37"/>
      <c r="T158" s="31" t="n">
        <f aca="false">IF(OR(K158="",N158="",S158="Voided / Rescinded"),0,K158)</f>
        <v>0</v>
      </c>
      <c r="U158" s="12"/>
    </row>
    <row r="159" customFormat="false" ht="15" hidden="false" customHeight="false" outlineLevel="0" collapsed="false">
      <c r="A159" s="37"/>
      <c r="B159" s="38"/>
      <c r="C159" s="37"/>
      <c r="D159" s="31" t="str">
        <f aca="false">IF($C159="","",IFERROR(INDEX(Employee_Master!$B$5:$B$104,MATCH($C159,Employee_Master!$A$5:$A$104,0)),"ID not found"))</f>
        <v/>
      </c>
      <c r="E159" s="31" t="str">
        <f aca="false">IF($C159="","",IFERROR(INDEX(Employee_Master!$C$5:$C$104,MATCH($C159,Employee_Master!$A$5:$A$104,0)),"ID not found"))</f>
        <v/>
      </c>
      <c r="F159" s="37"/>
      <c r="G159" s="37"/>
      <c r="H159" s="37"/>
      <c r="I159" s="12"/>
      <c r="J159" s="37"/>
      <c r="K159" s="31" t="str">
        <f aca="false">IF(J159="","",IFERROR(INDEX(Reference_Data!$T$5:$T$14,MATCH(J159,Reference_Data!$S$5:$S$14,0)),0))</f>
        <v/>
      </c>
      <c r="L159" s="38"/>
      <c r="M159" s="38"/>
      <c r="N159" s="38"/>
      <c r="O159" s="37"/>
      <c r="P159" s="37"/>
      <c r="Q159" s="37"/>
      <c r="R159" s="38"/>
      <c r="S159" s="37"/>
      <c r="T159" s="31" t="n">
        <f aca="false">IF(OR(K159="",N159="",S159="Voided / Rescinded"),0,K159)</f>
        <v>0</v>
      </c>
      <c r="U159" s="12"/>
    </row>
    <row r="160" customFormat="false" ht="15" hidden="false" customHeight="false" outlineLevel="0" collapsed="false">
      <c r="A160" s="37"/>
      <c r="B160" s="38"/>
      <c r="C160" s="37"/>
      <c r="D160" s="31" t="str">
        <f aca="false">IF($C160="","",IFERROR(INDEX(Employee_Master!$B$5:$B$104,MATCH($C160,Employee_Master!$A$5:$A$104,0)),"ID not found"))</f>
        <v/>
      </c>
      <c r="E160" s="31" t="str">
        <f aca="false">IF($C160="","",IFERROR(INDEX(Employee_Master!$C$5:$C$104,MATCH($C160,Employee_Master!$A$5:$A$104,0)),"ID not found"))</f>
        <v/>
      </c>
      <c r="F160" s="37"/>
      <c r="G160" s="37"/>
      <c r="H160" s="37"/>
      <c r="I160" s="12"/>
      <c r="J160" s="37"/>
      <c r="K160" s="31" t="str">
        <f aca="false">IF(J160="","",IFERROR(INDEX(Reference_Data!$T$5:$T$14,MATCH(J160,Reference_Data!$S$5:$S$14,0)),0))</f>
        <v/>
      </c>
      <c r="L160" s="38"/>
      <c r="M160" s="38"/>
      <c r="N160" s="38"/>
      <c r="O160" s="37"/>
      <c r="P160" s="37"/>
      <c r="Q160" s="37"/>
      <c r="R160" s="38"/>
      <c r="S160" s="37"/>
      <c r="T160" s="31" t="n">
        <f aca="false">IF(OR(K160="",N160="",S160="Voided / Rescinded"),0,K160)</f>
        <v>0</v>
      </c>
      <c r="U160" s="12"/>
    </row>
    <row r="161" customFormat="false" ht="15" hidden="false" customHeight="false" outlineLevel="0" collapsed="false">
      <c r="A161" s="37"/>
      <c r="B161" s="38"/>
      <c r="C161" s="37"/>
      <c r="D161" s="31" t="str">
        <f aca="false">IF($C161="","",IFERROR(INDEX(Employee_Master!$B$5:$B$104,MATCH($C161,Employee_Master!$A$5:$A$104,0)),"ID not found"))</f>
        <v/>
      </c>
      <c r="E161" s="31" t="str">
        <f aca="false">IF($C161="","",IFERROR(INDEX(Employee_Master!$C$5:$C$104,MATCH($C161,Employee_Master!$A$5:$A$104,0)),"ID not found"))</f>
        <v/>
      </c>
      <c r="F161" s="37"/>
      <c r="G161" s="37"/>
      <c r="H161" s="37"/>
      <c r="I161" s="12"/>
      <c r="J161" s="37"/>
      <c r="K161" s="31" t="str">
        <f aca="false">IF(J161="","",IFERROR(INDEX(Reference_Data!$T$5:$T$14,MATCH(J161,Reference_Data!$S$5:$S$14,0)),0))</f>
        <v/>
      </c>
      <c r="L161" s="38"/>
      <c r="M161" s="38"/>
      <c r="N161" s="38"/>
      <c r="O161" s="37"/>
      <c r="P161" s="37"/>
      <c r="Q161" s="37"/>
      <c r="R161" s="38"/>
      <c r="S161" s="37"/>
      <c r="T161" s="31" t="n">
        <f aca="false">IF(OR(K161="",N161="",S161="Voided / Rescinded"),0,K161)</f>
        <v>0</v>
      </c>
      <c r="U161" s="12"/>
    </row>
    <row r="162" customFormat="false" ht="15" hidden="false" customHeight="false" outlineLevel="0" collapsed="false">
      <c r="A162" s="37"/>
      <c r="B162" s="38"/>
      <c r="C162" s="37"/>
      <c r="D162" s="31" t="str">
        <f aca="false">IF($C162="","",IFERROR(INDEX(Employee_Master!$B$5:$B$104,MATCH($C162,Employee_Master!$A$5:$A$104,0)),"ID not found"))</f>
        <v/>
      </c>
      <c r="E162" s="31" t="str">
        <f aca="false">IF($C162="","",IFERROR(INDEX(Employee_Master!$C$5:$C$104,MATCH($C162,Employee_Master!$A$5:$A$104,0)),"ID not found"))</f>
        <v/>
      </c>
      <c r="F162" s="37"/>
      <c r="G162" s="37"/>
      <c r="H162" s="37"/>
      <c r="I162" s="12"/>
      <c r="J162" s="37"/>
      <c r="K162" s="31" t="str">
        <f aca="false">IF(J162="","",IFERROR(INDEX(Reference_Data!$T$5:$T$14,MATCH(J162,Reference_Data!$S$5:$S$14,0)),0))</f>
        <v/>
      </c>
      <c r="L162" s="38"/>
      <c r="M162" s="38"/>
      <c r="N162" s="38"/>
      <c r="O162" s="37"/>
      <c r="P162" s="37"/>
      <c r="Q162" s="37"/>
      <c r="R162" s="38"/>
      <c r="S162" s="37"/>
      <c r="T162" s="31" t="n">
        <f aca="false">IF(OR(K162="",N162="",S162="Voided / Rescinded"),0,K162)</f>
        <v>0</v>
      </c>
      <c r="U162" s="12"/>
    </row>
    <row r="163" customFormat="false" ht="15" hidden="false" customHeight="false" outlineLevel="0" collapsed="false">
      <c r="A163" s="37"/>
      <c r="B163" s="38"/>
      <c r="C163" s="37"/>
      <c r="D163" s="31" t="str">
        <f aca="false">IF($C163="","",IFERROR(INDEX(Employee_Master!$B$5:$B$104,MATCH($C163,Employee_Master!$A$5:$A$104,0)),"ID not found"))</f>
        <v/>
      </c>
      <c r="E163" s="31" t="str">
        <f aca="false">IF($C163="","",IFERROR(INDEX(Employee_Master!$C$5:$C$104,MATCH($C163,Employee_Master!$A$5:$A$104,0)),"ID not found"))</f>
        <v/>
      </c>
      <c r="F163" s="37"/>
      <c r="G163" s="37"/>
      <c r="H163" s="37"/>
      <c r="I163" s="12"/>
      <c r="J163" s="37"/>
      <c r="K163" s="31" t="str">
        <f aca="false">IF(J163="","",IFERROR(INDEX(Reference_Data!$T$5:$T$14,MATCH(J163,Reference_Data!$S$5:$S$14,0)),0))</f>
        <v/>
      </c>
      <c r="L163" s="38"/>
      <c r="M163" s="38"/>
      <c r="N163" s="38"/>
      <c r="O163" s="37"/>
      <c r="P163" s="37"/>
      <c r="Q163" s="37"/>
      <c r="R163" s="38"/>
      <c r="S163" s="37"/>
      <c r="T163" s="31" t="n">
        <f aca="false">IF(OR(K163="",N163="",S163="Voided / Rescinded"),0,K163)</f>
        <v>0</v>
      </c>
      <c r="U163" s="12"/>
    </row>
    <row r="164" customFormat="false" ht="15" hidden="false" customHeight="false" outlineLevel="0" collapsed="false">
      <c r="A164" s="37"/>
      <c r="B164" s="38"/>
      <c r="C164" s="37"/>
      <c r="D164" s="31" t="str">
        <f aca="false">IF($C164="","",IFERROR(INDEX(Employee_Master!$B$5:$B$104,MATCH($C164,Employee_Master!$A$5:$A$104,0)),"ID not found"))</f>
        <v/>
      </c>
      <c r="E164" s="31" t="str">
        <f aca="false">IF($C164="","",IFERROR(INDEX(Employee_Master!$C$5:$C$104,MATCH($C164,Employee_Master!$A$5:$A$104,0)),"ID not found"))</f>
        <v/>
      </c>
      <c r="F164" s="37"/>
      <c r="G164" s="37"/>
      <c r="H164" s="37"/>
      <c r="I164" s="12"/>
      <c r="J164" s="37"/>
      <c r="K164" s="31" t="str">
        <f aca="false">IF(J164="","",IFERROR(INDEX(Reference_Data!$T$5:$T$14,MATCH(J164,Reference_Data!$S$5:$S$14,0)),0))</f>
        <v/>
      </c>
      <c r="L164" s="38"/>
      <c r="M164" s="38"/>
      <c r="N164" s="38"/>
      <c r="O164" s="37"/>
      <c r="P164" s="37"/>
      <c r="Q164" s="37"/>
      <c r="R164" s="38"/>
      <c r="S164" s="37"/>
      <c r="T164" s="31" t="n">
        <f aca="false">IF(OR(K164="",N164="",S164="Voided / Rescinded"),0,K164)</f>
        <v>0</v>
      </c>
      <c r="U164" s="12"/>
    </row>
    <row r="165" customFormat="false" ht="15" hidden="false" customHeight="false" outlineLevel="0" collapsed="false">
      <c r="A165" s="37"/>
      <c r="B165" s="38"/>
      <c r="C165" s="37"/>
      <c r="D165" s="31" t="str">
        <f aca="false">IF($C165="","",IFERROR(INDEX(Employee_Master!$B$5:$B$104,MATCH($C165,Employee_Master!$A$5:$A$104,0)),"ID not found"))</f>
        <v/>
      </c>
      <c r="E165" s="31" t="str">
        <f aca="false">IF($C165="","",IFERROR(INDEX(Employee_Master!$C$5:$C$104,MATCH($C165,Employee_Master!$A$5:$A$104,0)),"ID not found"))</f>
        <v/>
      </c>
      <c r="F165" s="37"/>
      <c r="G165" s="37"/>
      <c r="H165" s="37"/>
      <c r="I165" s="12"/>
      <c r="J165" s="37"/>
      <c r="K165" s="31" t="str">
        <f aca="false">IF(J165="","",IFERROR(INDEX(Reference_Data!$T$5:$T$14,MATCH(J165,Reference_Data!$S$5:$S$14,0)),0))</f>
        <v/>
      </c>
      <c r="L165" s="38"/>
      <c r="M165" s="38"/>
      <c r="N165" s="38"/>
      <c r="O165" s="37"/>
      <c r="P165" s="37"/>
      <c r="Q165" s="37"/>
      <c r="R165" s="38"/>
      <c r="S165" s="37"/>
      <c r="T165" s="31" t="n">
        <f aca="false">IF(OR(K165="",N165="",S165="Voided / Rescinded"),0,K165)</f>
        <v>0</v>
      </c>
      <c r="U165" s="12"/>
    </row>
    <row r="166" customFormat="false" ht="15" hidden="false" customHeight="false" outlineLevel="0" collapsed="false">
      <c r="A166" s="37"/>
      <c r="B166" s="38"/>
      <c r="C166" s="37"/>
      <c r="D166" s="31" t="str">
        <f aca="false">IF($C166="","",IFERROR(INDEX(Employee_Master!$B$5:$B$104,MATCH($C166,Employee_Master!$A$5:$A$104,0)),"ID not found"))</f>
        <v/>
      </c>
      <c r="E166" s="31" t="str">
        <f aca="false">IF($C166="","",IFERROR(INDEX(Employee_Master!$C$5:$C$104,MATCH($C166,Employee_Master!$A$5:$A$104,0)),"ID not found"))</f>
        <v/>
      </c>
      <c r="F166" s="37"/>
      <c r="G166" s="37"/>
      <c r="H166" s="37"/>
      <c r="I166" s="12"/>
      <c r="J166" s="37"/>
      <c r="K166" s="31" t="str">
        <f aca="false">IF(J166="","",IFERROR(INDEX(Reference_Data!$T$5:$T$14,MATCH(J166,Reference_Data!$S$5:$S$14,0)),0))</f>
        <v/>
      </c>
      <c r="L166" s="38"/>
      <c r="M166" s="38"/>
      <c r="N166" s="38"/>
      <c r="O166" s="37"/>
      <c r="P166" s="37"/>
      <c r="Q166" s="37"/>
      <c r="R166" s="38"/>
      <c r="S166" s="37"/>
      <c r="T166" s="31" t="n">
        <f aca="false">IF(OR(K166="",N166="",S166="Voided / Rescinded"),0,K166)</f>
        <v>0</v>
      </c>
      <c r="U166" s="12"/>
    </row>
    <row r="167" customFormat="false" ht="15" hidden="false" customHeight="false" outlineLevel="0" collapsed="false">
      <c r="A167" s="37"/>
      <c r="B167" s="38"/>
      <c r="C167" s="37"/>
      <c r="D167" s="31" t="str">
        <f aca="false">IF($C167="","",IFERROR(INDEX(Employee_Master!$B$5:$B$104,MATCH($C167,Employee_Master!$A$5:$A$104,0)),"ID not found"))</f>
        <v/>
      </c>
      <c r="E167" s="31" t="str">
        <f aca="false">IF($C167="","",IFERROR(INDEX(Employee_Master!$C$5:$C$104,MATCH($C167,Employee_Master!$A$5:$A$104,0)),"ID not found"))</f>
        <v/>
      </c>
      <c r="F167" s="37"/>
      <c r="G167" s="37"/>
      <c r="H167" s="37"/>
      <c r="I167" s="12"/>
      <c r="J167" s="37"/>
      <c r="K167" s="31" t="str">
        <f aca="false">IF(J167="","",IFERROR(INDEX(Reference_Data!$T$5:$T$14,MATCH(J167,Reference_Data!$S$5:$S$14,0)),0))</f>
        <v/>
      </c>
      <c r="L167" s="38"/>
      <c r="M167" s="38"/>
      <c r="N167" s="38"/>
      <c r="O167" s="37"/>
      <c r="P167" s="37"/>
      <c r="Q167" s="37"/>
      <c r="R167" s="38"/>
      <c r="S167" s="37"/>
      <c r="T167" s="31" t="n">
        <f aca="false">IF(OR(K167="",N167="",S167="Voided / Rescinded"),0,K167)</f>
        <v>0</v>
      </c>
      <c r="U167" s="12"/>
    </row>
    <row r="168" customFormat="false" ht="15" hidden="false" customHeight="false" outlineLevel="0" collapsed="false">
      <c r="A168" s="37"/>
      <c r="B168" s="38"/>
      <c r="C168" s="37"/>
      <c r="D168" s="31" t="str">
        <f aca="false">IF($C168="","",IFERROR(INDEX(Employee_Master!$B$5:$B$104,MATCH($C168,Employee_Master!$A$5:$A$104,0)),"ID not found"))</f>
        <v/>
      </c>
      <c r="E168" s="31" t="str">
        <f aca="false">IF($C168="","",IFERROR(INDEX(Employee_Master!$C$5:$C$104,MATCH($C168,Employee_Master!$A$5:$A$104,0)),"ID not found"))</f>
        <v/>
      </c>
      <c r="F168" s="37"/>
      <c r="G168" s="37"/>
      <c r="H168" s="37"/>
      <c r="I168" s="12"/>
      <c r="J168" s="37"/>
      <c r="K168" s="31" t="str">
        <f aca="false">IF(J168="","",IFERROR(INDEX(Reference_Data!$T$5:$T$14,MATCH(J168,Reference_Data!$S$5:$S$14,0)),0))</f>
        <v/>
      </c>
      <c r="L168" s="38"/>
      <c r="M168" s="38"/>
      <c r="N168" s="38"/>
      <c r="O168" s="37"/>
      <c r="P168" s="37"/>
      <c r="Q168" s="37"/>
      <c r="R168" s="38"/>
      <c r="S168" s="37"/>
      <c r="T168" s="31" t="n">
        <f aca="false">IF(OR(K168="",N168="",S168="Voided / Rescinded"),0,K168)</f>
        <v>0</v>
      </c>
      <c r="U168" s="12"/>
    </row>
    <row r="169" customFormat="false" ht="15" hidden="false" customHeight="false" outlineLevel="0" collapsed="false">
      <c r="A169" s="37"/>
      <c r="B169" s="38"/>
      <c r="C169" s="37"/>
      <c r="D169" s="31" t="str">
        <f aca="false">IF($C169="","",IFERROR(INDEX(Employee_Master!$B$5:$B$104,MATCH($C169,Employee_Master!$A$5:$A$104,0)),"ID not found"))</f>
        <v/>
      </c>
      <c r="E169" s="31" t="str">
        <f aca="false">IF($C169="","",IFERROR(INDEX(Employee_Master!$C$5:$C$104,MATCH($C169,Employee_Master!$A$5:$A$104,0)),"ID not found"))</f>
        <v/>
      </c>
      <c r="F169" s="37"/>
      <c r="G169" s="37"/>
      <c r="H169" s="37"/>
      <c r="I169" s="12"/>
      <c r="J169" s="37"/>
      <c r="K169" s="31" t="str">
        <f aca="false">IF(J169="","",IFERROR(INDEX(Reference_Data!$T$5:$T$14,MATCH(J169,Reference_Data!$S$5:$S$14,0)),0))</f>
        <v/>
      </c>
      <c r="L169" s="38"/>
      <c r="M169" s="38"/>
      <c r="N169" s="38"/>
      <c r="O169" s="37"/>
      <c r="P169" s="37"/>
      <c r="Q169" s="37"/>
      <c r="R169" s="38"/>
      <c r="S169" s="37"/>
      <c r="T169" s="31" t="n">
        <f aca="false">IF(OR(K169="",N169="",S169="Voided / Rescinded"),0,K169)</f>
        <v>0</v>
      </c>
      <c r="U169" s="12"/>
    </row>
    <row r="170" customFormat="false" ht="15" hidden="false" customHeight="false" outlineLevel="0" collapsed="false">
      <c r="A170" s="37"/>
      <c r="B170" s="38"/>
      <c r="C170" s="37"/>
      <c r="D170" s="31" t="str">
        <f aca="false">IF($C170="","",IFERROR(INDEX(Employee_Master!$B$5:$B$104,MATCH($C170,Employee_Master!$A$5:$A$104,0)),"ID not found"))</f>
        <v/>
      </c>
      <c r="E170" s="31" t="str">
        <f aca="false">IF($C170="","",IFERROR(INDEX(Employee_Master!$C$5:$C$104,MATCH($C170,Employee_Master!$A$5:$A$104,0)),"ID not found"))</f>
        <v/>
      </c>
      <c r="F170" s="37"/>
      <c r="G170" s="37"/>
      <c r="H170" s="37"/>
      <c r="I170" s="12"/>
      <c r="J170" s="37"/>
      <c r="K170" s="31" t="str">
        <f aca="false">IF(J170="","",IFERROR(INDEX(Reference_Data!$T$5:$T$14,MATCH(J170,Reference_Data!$S$5:$S$14,0)),0))</f>
        <v/>
      </c>
      <c r="L170" s="38"/>
      <c r="M170" s="38"/>
      <c r="N170" s="38"/>
      <c r="O170" s="37"/>
      <c r="P170" s="37"/>
      <c r="Q170" s="37"/>
      <c r="R170" s="38"/>
      <c r="S170" s="37"/>
      <c r="T170" s="31" t="n">
        <f aca="false">IF(OR(K170="",N170="",S170="Voided / Rescinded"),0,K170)</f>
        <v>0</v>
      </c>
      <c r="U170" s="12"/>
    </row>
    <row r="171" customFormat="false" ht="15" hidden="false" customHeight="false" outlineLevel="0" collapsed="false">
      <c r="A171" s="37"/>
      <c r="B171" s="38"/>
      <c r="C171" s="37"/>
      <c r="D171" s="31" t="str">
        <f aca="false">IF($C171="","",IFERROR(INDEX(Employee_Master!$B$5:$B$104,MATCH($C171,Employee_Master!$A$5:$A$104,0)),"ID not found"))</f>
        <v/>
      </c>
      <c r="E171" s="31" t="str">
        <f aca="false">IF($C171="","",IFERROR(INDEX(Employee_Master!$C$5:$C$104,MATCH($C171,Employee_Master!$A$5:$A$104,0)),"ID not found"))</f>
        <v/>
      </c>
      <c r="F171" s="37"/>
      <c r="G171" s="37"/>
      <c r="H171" s="37"/>
      <c r="I171" s="12"/>
      <c r="J171" s="37"/>
      <c r="K171" s="31" t="str">
        <f aca="false">IF(J171="","",IFERROR(INDEX(Reference_Data!$T$5:$T$14,MATCH(J171,Reference_Data!$S$5:$S$14,0)),0))</f>
        <v/>
      </c>
      <c r="L171" s="38"/>
      <c r="M171" s="38"/>
      <c r="N171" s="38"/>
      <c r="O171" s="37"/>
      <c r="P171" s="37"/>
      <c r="Q171" s="37"/>
      <c r="R171" s="38"/>
      <c r="S171" s="37"/>
      <c r="T171" s="31" t="n">
        <f aca="false">IF(OR(K171="",N171="",S171="Voided / Rescinded"),0,K171)</f>
        <v>0</v>
      </c>
      <c r="U171" s="12"/>
    </row>
    <row r="172" customFormat="false" ht="15" hidden="false" customHeight="false" outlineLevel="0" collapsed="false">
      <c r="A172" s="37"/>
      <c r="B172" s="38"/>
      <c r="C172" s="37"/>
      <c r="D172" s="31" t="str">
        <f aca="false">IF($C172="","",IFERROR(INDEX(Employee_Master!$B$5:$B$104,MATCH($C172,Employee_Master!$A$5:$A$104,0)),"ID not found"))</f>
        <v/>
      </c>
      <c r="E172" s="31" t="str">
        <f aca="false">IF($C172="","",IFERROR(INDEX(Employee_Master!$C$5:$C$104,MATCH($C172,Employee_Master!$A$5:$A$104,0)),"ID not found"))</f>
        <v/>
      </c>
      <c r="F172" s="37"/>
      <c r="G172" s="37"/>
      <c r="H172" s="37"/>
      <c r="I172" s="12"/>
      <c r="J172" s="37"/>
      <c r="K172" s="31" t="str">
        <f aca="false">IF(J172="","",IFERROR(INDEX(Reference_Data!$T$5:$T$14,MATCH(J172,Reference_Data!$S$5:$S$14,0)),0))</f>
        <v/>
      </c>
      <c r="L172" s="38"/>
      <c r="M172" s="38"/>
      <c r="N172" s="38"/>
      <c r="O172" s="37"/>
      <c r="P172" s="37"/>
      <c r="Q172" s="37"/>
      <c r="R172" s="38"/>
      <c r="S172" s="37"/>
      <c r="T172" s="31" t="n">
        <f aca="false">IF(OR(K172="",N172="",S172="Voided / Rescinded"),0,K172)</f>
        <v>0</v>
      </c>
      <c r="U172" s="12"/>
    </row>
    <row r="173" customFormat="false" ht="15" hidden="false" customHeight="false" outlineLevel="0" collapsed="false">
      <c r="A173" s="37"/>
      <c r="B173" s="38"/>
      <c r="C173" s="37"/>
      <c r="D173" s="31" t="str">
        <f aca="false">IF($C173="","",IFERROR(INDEX(Employee_Master!$B$5:$B$104,MATCH($C173,Employee_Master!$A$5:$A$104,0)),"ID not found"))</f>
        <v/>
      </c>
      <c r="E173" s="31" t="str">
        <f aca="false">IF($C173="","",IFERROR(INDEX(Employee_Master!$C$5:$C$104,MATCH($C173,Employee_Master!$A$5:$A$104,0)),"ID not found"))</f>
        <v/>
      </c>
      <c r="F173" s="37"/>
      <c r="G173" s="37"/>
      <c r="H173" s="37"/>
      <c r="I173" s="12"/>
      <c r="J173" s="37"/>
      <c r="K173" s="31" t="str">
        <f aca="false">IF(J173="","",IFERROR(INDEX(Reference_Data!$T$5:$T$14,MATCH(J173,Reference_Data!$S$5:$S$14,0)),0))</f>
        <v/>
      </c>
      <c r="L173" s="38"/>
      <c r="M173" s="38"/>
      <c r="N173" s="38"/>
      <c r="O173" s="37"/>
      <c r="P173" s="37"/>
      <c r="Q173" s="37"/>
      <c r="R173" s="38"/>
      <c r="S173" s="37"/>
      <c r="T173" s="31" t="n">
        <f aca="false">IF(OR(K173="",N173="",S173="Voided / Rescinded"),0,K173)</f>
        <v>0</v>
      </c>
      <c r="U173" s="12"/>
    </row>
    <row r="174" customFormat="false" ht="15" hidden="false" customHeight="false" outlineLevel="0" collapsed="false">
      <c r="A174" s="37"/>
      <c r="B174" s="38"/>
      <c r="C174" s="37"/>
      <c r="D174" s="31" t="str">
        <f aca="false">IF($C174="","",IFERROR(INDEX(Employee_Master!$B$5:$B$104,MATCH($C174,Employee_Master!$A$5:$A$104,0)),"ID not found"))</f>
        <v/>
      </c>
      <c r="E174" s="31" t="str">
        <f aca="false">IF($C174="","",IFERROR(INDEX(Employee_Master!$C$5:$C$104,MATCH($C174,Employee_Master!$A$5:$A$104,0)),"ID not found"))</f>
        <v/>
      </c>
      <c r="F174" s="37"/>
      <c r="G174" s="37"/>
      <c r="H174" s="37"/>
      <c r="I174" s="12"/>
      <c r="J174" s="37"/>
      <c r="K174" s="31" t="str">
        <f aca="false">IF(J174="","",IFERROR(INDEX(Reference_Data!$T$5:$T$14,MATCH(J174,Reference_Data!$S$5:$S$14,0)),0))</f>
        <v/>
      </c>
      <c r="L174" s="38"/>
      <c r="M174" s="38"/>
      <c r="N174" s="38"/>
      <c r="O174" s="37"/>
      <c r="P174" s="37"/>
      <c r="Q174" s="37"/>
      <c r="R174" s="38"/>
      <c r="S174" s="37"/>
      <c r="T174" s="31" t="n">
        <f aca="false">IF(OR(K174="",N174="",S174="Voided / Rescinded"),0,K174)</f>
        <v>0</v>
      </c>
      <c r="U174" s="12"/>
    </row>
    <row r="175" customFormat="false" ht="15" hidden="false" customHeight="false" outlineLevel="0" collapsed="false">
      <c r="A175" s="37"/>
      <c r="B175" s="38"/>
      <c r="C175" s="37"/>
      <c r="D175" s="31" t="str">
        <f aca="false">IF($C175="","",IFERROR(INDEX(Employee_Master!$B$5:$B$104,MATCH($C175,Employee_Master!$A$5:$A$104,0)),"ID not found"))</f>
        <v/>
      </c>
      <c r="E175" s="31" t="str">
        <f aca="false">IF($C175="","",IFERROR(INDEX(Employee_Master!$C$5:$C$104,MATCH($C175,Employee_Master!$A$5:$A$104,0)),"ID not found"))</f>
        <v/>
      </c>
      <c r="F175" s="37"/>
      <c r="G175" s="37"/>
      <c r="H175" s="37"/>
      <c r="I175" s="12"/>
      <c r="J175" s="37"/>
      <c r="K175" s="31" t="str">
        <f aca="false">IF(J175="","",IFERROR(INDEX(Reference_Data!$T$5:$T$14,MATCH(J175,Reference_Data!$S$5:$S$14,0)),0))</f>
        <v/>
      </c>
      <c r="L175" s="38"/>
      <c r="M175" s="38"/>
      <c r="N175" s="38"/>
      <c r="O175" s="37"/>
      <c r="P175" s="37"/>
      <c r="Q175" s="37"/>
      <c r="R175" s="38"/>
      <c r="S175" s="37"/>
      <c r="T175" s="31" t="n">
        <f aca="false">IF(OR(K175="",N175="",S175="Voided / Rescinded"),0,K175)</f>
        <v>0</v>
      </c>
      <c r="U175" s="12"/>
    </row>
    <row r="176" customFormat="false" ht="15" hidden="false" customHeight="false" outlineLevel="0" collapsed="false">
      <c r="A176" s="37"/>
      <c r="B176" s="38"/>
      <c r="C176" s="37"/>
      <c r="D176" s="31" t="str">
        <f aca="false">IF($C176="","",IFERROR(INDEX(Employee_Master!$B$5:$B$104,MATCH($C176,Employee_Master!$A$5:$A$104,0)),"ID not found"))</f>
        <v/>
      </c>
      <c r="E176" s="31" t="str">
        <f aca="false">IF($C176="","",IFERROR(INDEX(Employee_Master!$C$5:$C$104,MATCH($C176,Employee_Master!$A$5:$A$104,0)),"ID not found"))</f>
        <v/>
      </c>
      <c r="F176" s="37"/>
      <c r="G176" s="37"/>
      <c r="H176" s="37"/>
      <c r="I176" s="12"/>
      <c r="J176" s="37"/>
      <c r="K176" s="31" t="str">
        <f aca="false">IF(J176="","",IFERROR(INDEX(Reference_Data!$T$5:$T$14,MATCH(J176,Reference_Data!$S$5:$S$14,0)),0))</f>
        <v/>
      </c>
      <c r="L176" s="38"/>
      <c r="M176" s="38"/>
      <c r="N176" s="38"/>
      <c r="O176" s="37"/>
      <c r="P176" s="37"/>
      <c r="Q176" s="37"/>
      <c r="R176" s="38"/>
      <c r="S176" s="37"/>
      <c r="T176" s="31" t="n">
        <f aca="false">IF(OR(K176="",N176="",S176="Voided / Rescinded"),0,K176)</f>
        <v>0</v>
      </c>
      <c r="U176" s="12"/>
    </row>
    <row r="177" customFormat="false" ht="15" hidden="false" customHeight="false" outlineLevel="0" collapsed="false">
      <c r="A177" s="37"/>
      <c r="B177" s="38"/>
      <c r="C177" s="37"/>
      <c r="D177" s="31" t="str">
        <f aca="false">IF($C177="","",IFERROR(INDEX(Employee_Master!$B$5:$B$104,MATCH($C177,Employee_Master!$A$5:$A$104,0)),"ID not found"))</f>
        <v/>
      </c>
      <c r="E177" s="31" t="str">
        <f aca="false">IF($C177="","",IFERROR(INDEX(Employee_Master!$C$5:$C$104,MATCH($C177,Employee_Master!$A$5:$A$104,0)),"ID not found"))</f>
        <v/>
      </c>
      <c r="F177" s="37"/>
      <c r="G177" s="37"/>
      <c r="H177" s="37"/>
      <c r="I177" s="12"/>
      <c r="J177" s="37"/>
      <c r="K177" s="31" t="str">
        <f aca="false">IF(J177="","",IFERROR(INDEX(Reference_Data!$T$5:$T$14,MATCH(J177,Reference_Data!$S$5:$S$14,0)),0))</f>
        <v/>
      </c>
      <c r="L177" s="38"/>
      <c r="M177" s="38"/>
      <c r="N177" s="38"/>
      <c r="O177" s="37"/>
      <c r="P177" s="37"/>
      <c r="Q177" s="37"/>
      <c r="R177" s="38"/>
      <c r="S177" s="37"/>
      <c r="T177" s="31" t="n">
        <f aca="false">IF(OR(K177="",N177="",S177="Voided / Rescinded"),0,K177)</f>
        <v>0</v>
      </c>
      <c r="U177" s="12"/>
    </row>
    <row r="178" customFormat="false" ht="15" hidden="false" customHeight="false" outlineLevel="0" collapsed="false">
      <c r="A178" s="37"/>
      <c r="B178" s="38"/>
      <c r="C178" s="37"/>
      <c r="D178" s="31" t="str">
        <f aca="false">IF($C178="","",IFERROR(INDEX(Employee_Master!$B$5:$B$104,MATCH($C178,Employee_Master!$A$5:$A$104,0)),"ID not found"))</f>
        <v/>
      </c>
      <c r="E178" s="31" t="str">
        <f aca="false">IF($C178="","",IFERROR(INDEX(Employee_Master!$C$5:$C$104,MATCH($C178,Employee_Master!$A$5:$A$104,0)),"ID not found"))</f>
        <v/>
      </c>
      <c r="F178" s="37"/>
      <c r="G178" s="37"/>
      <c r="H178" s="37"/>
      <c r="I178" s="12"/>
      <c r="J178" s="37"/>
      <c r="K178" s="31" t="str">
        <f aca="false">IF(J178="","",IFERROR(INDEX(Reference_Data!$T$5:$T$14,MATCH(J178,Reference_Data!$S$5:$S$14,0)),0))</f>
        <v/>
      </c>
      <c r="L178" s="38"/>
      <c r="M178" s="38"/>
      <c r="N178" s="38"/>
      <c r="O178" s="37"/>
      <c r="P178" s="37"/>
      <c r="Q178" s="37"/>
      <c r="R178" s="38"/>
      <c r="S178" s="37"/>
      <c r="T178" s="31" t="n">
        <f aca="false">IF(OR(K178="",N178="",S178="Voided / Rescinded"),0,K178)</f>
        <v>0</v>
      </c>
      <c r="U178" s="12"/>
    </row>
    <row r="179" customFormat="false" ht="15" hidden="false" customHeight="false" outlineLevel="0" collapsed="false">
      <c r="A179" s="37"/>
      <c r="B179" s="38"/>
      <c r="C179" s="37"/>
      <c r="D179" s="31" t="str">
        <f aca="false">IF($C179="","",IFERROR(INDEX(Employee_Master!$B$5:$B$104,MATCH($C179,Employee_Master!$A$5:$A$104,0)),"ID not found"))</f>
        <v/>
      </c>
      <c r="E179" s="31" t="str">
        <f aca="false">IF($C179="","",IFERROR(INDEX(Employee_Master!$C$5:$C$104,MATCH($C179,Employee_Master!$A$5:$A$104,0)),"ID not found"))</f>
        <v/>
      </c>
      <c r="F179" s="37"/>
      <c r="G179" s="37"/>
      <c r="H179" s="37"/>
      <c r="I179" s="12"/>
      <c r="J179" s="37"/>
      <c r="K179" s="31" t="str">
        <f aca="false">IF(J179="","",IFERROR(INDEX(Reference_Data!$T$5:$T$14,MATCH(J179,Reference_Data!$S$5:$S$14,0)),0))</f>
        <v/>
      </c>
      <c r="L179" s="38"/>
      <c r="M179" s="38"/>
      <c r="N179" s="38"/>
      <c r="O179" s="37"/>
      <c r="P179" s="37"/>
      <c r="Q179" s="37"/>
      <c r="R179" s="38"/>
      <c r="S179" s="37"/>
      <c r="T179" s="31" t="n">
        <f aca="false">IF(OR(K179="",N179="",S179="Voided / Rescinded"),0,K179)</f>
        <v>0</v>
      </c>
      <c r="U179" s="12"/>
    </row>
    <row r="180" customFormat="false" ht="15" hidden="false" customHeight="false" outlineLevel="0" collapsed="false">
      <c r="A180" s="37"/>
      <c r="B180" s="38"/>
      <c r="C180" s="37"/>
      <c r="D180" s="31" t="str">
        <f aca="false">IF($C180="","",IFERROR(INDEX(Employee_Master!$B$5:$B$104,MATCH($C180,Employee_Master!$A$5:$A$104,0)),"ID not found"))</f>
        <v/>
      </c>
      <c r="E180" s="31" t="str">
        <f aca="false">IF($C180="","",IFERROR(INDEX(Employee_Master!$C$5:$C$104,MATCH($C180,Employee_Master!$A$5:$A$104,0)),"ID not found"))</f>
        <v/>
      </c>
      <c r="F180" s="37"/>
      <c r="G180" s="37"/>
      <c r="H180" s="37"/>
      <c r="I180" s="12"/>
      <c r="J180" s="37"/>
      <c r="K180" s="31" t="str">
        <f aca="false">IF(J180="","",IFERROR(INDEX(Reference_Data!$T$5:$T$14,MATCH(J180,Reference_Data!$S$5:$S$14,0)),0))</f>
        <v/>
      </c>
      <c r="L180" s="38"/>
      <c r="M180" s="38"/>
      <c r="N180" s="38"/>
      <c r="O180" s="37"/>
      <c r="P180" s="37"/>
      <c r="Q180" s="37"/>
      <c r="R180" s="38"/>
      <c r="S180" s="37"/>
      <c r="T180" s="31" t="n">
        <f aca="false">IF(OR(K180="",N180="",S180="Voided / Rescinded"),0,K180)</f>
        <v>0</v>
      </c>
      <c r="U180" s="12"/>
    </row>
    <row r="181" customFormat="false" ht="15" hidden="false" customHeight="false" outlineLevel="0" collapsed="false">
      <c r="A181" s="37"/>
      <c r="B181" s="38"/>
      <c r="C181" s="37"/>
      <c r="D181" s="31" t="str">
        <f aca="false">IF($C181="","",IFERROR(INDEX(Employee_Master!$B$5:$B$104,MATCH($C181,Employee_Master!$A$5:$A$104,0)),"ID not found"))</f>
        <v/>
      </c>
      <c r="E181" s="31" t="str">
        <f aca="false">IF($C181="","",IFERROR(INDEX(Employee_Master!$C$5:$C$104,MATCH($C181,Employee_Master!$A$5:$A$104,0)),"ID not found"))</f>
        <v/>
      </c>
      <c r="F181" s="37"/>
      <c r="G181" s="37"/>
      <c r="H181" s="37"/>
      <c r="I181" s="12"/>
      <c r="J181" s="37"/>
      <c r="K181" s="31" t="str">
        <f aca="false">IF(J181="","",IFERROR(INDEX(Reference_Data!$T$5:$T$14,MATCH(J181,Reference_Data!$S$5:$S$14,0)),0))</f>
        <v/>
      </c>
      <c r="L181" s="38"/>
      <c r="M181" s="38"/>
      <c r="N181" s="38"/>
      <c r="O181" s="37"/>
      <c r="P181" s="37"/>
      <c r="Q181" s="37"/>
      <c r="R181" s="38"/>
      <c r="S181" s="37"/>
      <c r="T181" s="31" t="n">
        <f aca="false">IF(OR(K181="",N181="",S181="Voided / Rescinded"),0,K181)</f>
        <v>0</v>
      </c>
      <c r="U181" s="12"/>
    </row>
    <row r="182" customFormat="false" ht="15" hidden="false" customHeight="false" outlineLevel="0" collapsed="false">
      <c r="A182" s="37"/>
      <c r="B182" s="38"/>
      <c r="C182" s="37"/>
      <c r="D182" s="31" t="str">
        <f aca="false">IF($C182="","",IFERROR(INDEX(Employee_Master!$B$5:$B$104,MATCH($C182,Employee_Master!$A$5:$A$104,0)),"ID not found"))</f>
        <v/>
      </c>
      <c r="E182" s="31" t="str">
        <f aca="false">IF($C182="","",IFERROR(INDEX(Employee_Master!$C$5:$C$104,MATCH($C182,Employee_Master!$A$5:$A$104,0)),"ID not found"))</f>
        <v/>
      </c>
      <c r="F182" s="37"/>
      <c r="G182" s="37"/>
      <c r="H182" s="37"/>
      <c r="I182" s="12"/>
      <c r="J182" s="37"/>
      <c r="K182" s="31" t="str">
        <f aca="false">IF(J182="","",IFERROR(INDEX(Reference_Data!$T$5:$T$14,MATCH(J182,Reference_Data!$S$5:$S$14,0)),0))</f>
        <v/>
      </c>
      <c r="L182" s="38"/>
      <c r="M182" s="38"/>
      <c r="N182" s="38"/>
      <c r="O182" s="37"/>
      <c r="P182" s="37"/>
      <c r="Q182" s="37"/>
      <c r="R182" s="38"/>
      <c r="S182" s="37"/>
      <c r="T182" s="31" t="n">
        <f aca="false">IF(OR(K182="",N182="",S182="Voided / Rescinded"),0,K182)</f>
        <v>0</v>
      </c>
      <c r="U182" s="12"/>
    </row>
    <row r="183" customFormat="false" ht="15" hidden="false" customHeight="false" outlineLevel="0" collapsed="false">
      <c r="A183" s="37"/>
      <c r="B183" s="38"/>
      <c r="C183" s="37"/>
      <c r="D183" s="31" t="str">
        <f aca="false">IF($C183="","",IFERROR(INDEX(Employee_Master!$B$5:$B$104,MATCH($C183,Employee_Master!$A$5:$A$104,0)),"ID not found"))</f>
        <v/>
      </c>
      <c r="E183" s="31" t="str">
        <f aca="false">IF($C183="","",IFERROR(INDEX(Employee_Master!$C$5:$C$104,MATCH($C183,Employee_Master!$A$5:$A$104,0)),"ID not found"))</f>
        <v/>
      </c>
      <c r="F183" s="37"/>
      <c r="G183" s="37"/>
      <c r="H183" s="37"/>
      <c r="I183" s="12"/>
      <c r="J183" s="37"/>
      <c r="K183" s="31" t="str">
        <f aca="false">IF(J183="","",IFERROR(INDEX(Reference_Data!$T$5:$T$14,MATCH(J183,Reference_Data!$S$5:$S$14,0)),0))</f>
        <v/>
      </c>
      <c r="L183" s="38"/>
      <c r="M183" s="38"/>
      <c r="N183" s="38"/>
      <c r="O183" s="37"/>
      <c r="P183" s="37"/>
      <c r="Q183" s="37"/>
      <c r="R183" s="38"/>
      <c r="S183" s="37"/>
      <c r="T183" s="31" t="n">
        <f aca="false">IF(OR(K183="",N183="",S183="Voided / Rescinded"),0,K183)</f>
        <v>0</v>
      </c>
      <c r="U183" s="12"/>
    </row>
    <row r="184" customFormat="false" ht="15" hidden="false" customHeight="false" outlineLevel="0" collapsed="false">
      <c r="A184" s="37"/>
      <c r="B184" s="38"/>
      <c r="C184" s="37"/>
      <c r="D184" s="31" t="str">
        <f aca="false">IF($C184="","",IFERROR(INDEX(Employee_Master!$B$5:$B$104,MATCH($C184,Employee_Master!$A$5:$A$104,0)),"ID not found"))</f>
        <v/>
      </c>
      <c r="E184" s="31" t="str">
        <f aca="false">IF($C184="","",IFERROR(INDEX(Employee_Master!$C$5:$C$104,MATCH($C184,Employee_Master!$A$5:$A$104,0)),"ID not found"))</f>
        <v/>
      </c>
      <c r="F184" s="37"/>
      <c r="G184" s="37"/>
      <c r="H184" s="37"/>
      <c r="I184" s="12"/>
      <c r="J184" s="37"/>
      <c r="K184" s="31" t="str">
        <f aca="false">IF(J184="","",IFERROR(INDEX(Reference_Data!$T$5:$T$14,MATCH(J184,Reference_Data!$S$5:$S$14,0)),0))</f>
        <v/>
      </c>
      <c r="L184" s="38"/>
      <c r="M184" s="38"/>
      <c r="N184" s="38"/>
      <c r="O184" s="37"/>
      <c r="P184" s="37"/>
      <c r="Q184" s="37"/>
      <c r="R184" s="38"/>
      <c r="S184" s="37"/>
      <c r="T184" s="31" t="n">
        <f aca="false">IF(OR(K184="",N184="",S184="Voided / Rescinded"),0,K184)</f>
        <v>0</v>
      </c>
      <c r="U184" s="12"/>
    </row>
    <row r="185" customFormat="false" ht="15" hidden="false" customHeight="false" outlineLevel="0" collapsed="false">
      <c r="A185" s="37"/>
      <c r="B185" s="38"/>
      <c r="C185" s="37"/>
      <c r="D185" s="31" t="str">
        <f aca="false">IF($C185="","",IFERROR(INDEX(Employee_Master!$B$5:$B$104,MATCH($C185,Employee_Master!$A$5:$A$104,0)),"ID not found"))</f>
        <v/>
      </c>
      <c r="E185" s="31" t="str">
        <f aca="false">IF($C185="","",IFERROR(INDEX(Employee_Master!$C$5:$C$104,MATCH($C185,Employee_Master!$A$5:$A$104,0)),"ID not found"))</f>
        <v/>
      </c>
      <c r="F185" s="37"/>
      <c r="G185" s="37"/>
      <c r="H185" s="37"/>
      <c r="I185" s="12"/>
      <c r="J185" s="37"/>
      <c r="K185" s="31" t="str">
        <f aca="false">IF(J185="","",IFERROR(INDEX(Reference_Data!$T$5:$T$14,MATCH(J185,Reference_Data!$S$5:$S$14,0)),0))</f>
        <v/>
      </c>
      <c r="L185" s="38"/>
      <c r="M185" s="38"/>
      <c r="N185" s="38"/>
      <c r="O185" s="37"/>
      <c r="P185" s="37"/>
      <c r="Q185" s="37"/>
      <c r="R185" s="38"/>
      <c r="S185" s="37"/>
      <c r="T185" s="31" t="n">
        <f aca="false">IF(OR(K185="",N185="",S185="Voided / Rescinded"),0,K185)</f>
        <v>0</v>
      </c>
      <c r="U185" s="12"/>
    </row>
    <row r="186" customFormat="false" ht="15" hidden="false" customHeight="false" outlineLevel="0" collapsed="false">
      <c r="A186" s="37"/>
      <c r="B186" s="38"/>
      <c r="C186" s="37"/>
      <c r="D186" s="31" t="str">
        <f aca="false">IF($C186="","",IFERROR(INDEX(Employee_Master!$B$5:$B$104,MATCH($C186,Employee_Master!$A$5:$A$104,0)),"ID not found"))</f>
        <v/>
      </c>
      <c r="E186" s="31" t="str">
        <f aca="false">IF($C186="","",IFERROR(INDEX(Employee_Master!$C$5:$C$104,MATCH($C186,Employee_Master!$A$5:$A$104,0)),"ID not found"))</f>
        <v/>
      </c>
      <c r="F186" s="37"/>
      <c r="G186" s="37"/>
      <c r="H186" s="37"/>
      <c r="I186" s="12"/>
      <c r="J186" s="37"/>
      <c r="K186" s="31" t="str">
        <f aca="false">IF(J186="","",IFERROR(INDEX(Reference_Data!$T$5:$T$14,MATCH(J186,Reference_Data!$S$5:$S$14,0)),0))</f>
        <v/>
      </c>
      <c r="L186" s="38"/>
      <c r="M186" s="38"/>
      <c r="N186" s="38"/>
      <c r="O186" s="37"/>
      <c r="P186" s="37"/>
      <c r="Q186" s="37"/>
      <c r="R186" s="38"/>
      <c r="S186" s="37"/>
      <c r="T186" s="31" t="n">
        <f aca="false">IF(OR(K186="",N186="",S186="Voided / Rescinded"),0,K186)</f>
        <v>0</v>
      </c>
      <c r="U186" s="12"/>
    </row>
    <row r="187" customFormat="false" ht="15" hidden="false" customHeight="false" outlineLevel="0" collapsed="false">
      <c r="A187" s="37"/>
      <c r="B187" s="38"/>
      <c r="C187" s="37"/>
      <c r="D187" s="31" t="str">
        <f aca="false">IF($C187="","",IFERROR(INDEX(Employee_Master!$B$5:$B$104,MATCH($C187,Employee_Master!$A$5:$A$104,0)),"ID not found"))</f>
        <v/>
      </c>
      <c r="E187" s="31" t="str">
        <f aca="false">IF($C187="","",IFERROR(INDEX(Employee_Master!$C$5:$C$104,MATCH($C187,Employee_Master!$A$5:$A$104,0)),"ID not found"))</f>
        <v/>
      </c>
      <c r="F187" s="37"/>
      <c r="G187" s="37"/>
      <c r="H187" s="37"/>
      <c r="I187" s="12"/>
      <c r="J187" s="37"/>
      <c r="K187" s="31" t="str">
        <f aca="false">IF(J187="","",IFERROR(INDEX(Reference_Data!$T$5:$T$14,MATCH(J187,Reference_Data!$S$5:$S$14,0)),0))</f>
        <v/>
      </c>
      <c r="L187" s="38"/>
      <c r="M187" s="38"/>
      <c r="N187" s="38"/>
      <c r="O187" s="37"/>
      <c r="P187" s="37"/>
      <c r="Q187" s="37"/>
      <c r="R187" s="38"/>
      <c r="S187" s="37"/>
      <c r="T187" s="31" t="n">
        <f aca="false">IF(OR(K187="",N187="",S187="Voided / Rescinded"),0,K187)</f>
        <v>0</v>
      </c>
      <c r="U187" s="12"/>
    </row>
    <row r="188" customFormat="false" ht="15" hidden="false" customHeight="false" outlineLevel="0" collapsed="false">
      <c r="A188" s="37"/>
      <c r="B188" s="38"/>
      <c r="C188" s="37"/>
      <c r="D188" s="31" t="str">
        <f aca="false">IF($C188="","",IFERROR(INDEX(Employee_Master!$B$5:$B$104,MATCH($C188,Employee_Master!$A$5:$A$104,0)),"ID not found"))</f>
        <v/>
      </c>
      <c r="E188" s="31" t="str">
        <f aca="false">IF($C188="","",IFERROR(INDEX(Employee_Master!$C$5:$C$104,MATCH($C188,Employee_Master!$A$5:$A$104,0)),"ID not found"))</f>
        <v/>
      </c>
      <c r="F188" s="37"/>
      <c r="G188" s="37"/>
      <c r="H188" s="37"/>
      <c r="I188" s="12"/>
      <c r="J188" s="37"/>
      <c r="K188" s="31" t="str">
        <f aca="false">IF(J188="","",IFERROR(INDEX(Reference_Data!$T$5:$T$14,MATCH(J188,Reference_Data!$S$5:$S$14,0)),0))</f>
        <v/>
      </c>
      <c r="L188" s="38"/>
      <c r="M188" s="38"/>
      <c r="N188" s="38"/>
      <c r="O188" s="37"/>
      <c r="P188" s="37"/>
      <c r="Q188" s="37"/>
      <c r="R188" s="38"/>
      <c r="S188" s="37"/>
      <c r="T188" s="31" t="n">
        <f aca="false">IF(OR(K188="",N188="",S188="Voided / Rescinded"),0,K188)</f>
        <v>0</v>
      </c>
      <c r="U188" s="12"/>
    </row>
    <row r="189" customFormat="false" ht="15" hidden="false" customHeight="false" outlineLevel="0" collapsed="false">
      <c r="A189" s="37"/>
      <c r="B189" s="38"/>
      <c r="C189" s="37"/>
      <c r="D189" s="31" t="str">
        <f aca="false">IF($C189="","",IFERROR(INDEX(Employee_Master!$B$5:$B$104,MATCH($C189,Employee_Master!$A$5:$A$104,0)),"ID not found"))</f>
        <v/>
      </c>
      <c r="E189" s="31" t="str">
        <f aca="false">IF($C189="","",IFERROR(INDEX(Employee_Master!$C$5:$C$104,MATCH($C189,Employee_Master!$A$5:$A$104,0)),"ID not found"))</f>
        <v/>
      </c>
      <c r="F189" s="37"/>
      <c r="G189" s="37"/>
      <c r="H189" s="37"/>
      <c r="I189" s="12"/>
      <c r="J189" s="37"/>
      <c r="K189" s="31" t="str">
        <f aca="false">IF(J189="","",IFERROR(INDEX(Reference_Data!$T$5:$T$14,MATCH(J189,Reference_Data!$S$5:$S$14,0)),0))</f>
        <v/>
      </c>
      <c r="L189" s="38"/>
      <c r="M189" s="38"/>
      <c r="N189" s="38"/>
      <c r="O189" s="37"/>
      <c r="P189" s="37"/>
      <c r="Q189" s="37"/>
      <c r="R189" s="38"/>
      <c r="S189" s="37"/>
      <c r="T189" s="31" t="n">
        <f aca="false">IF(OR(K189="",N189="",S189="Voided / Rescinded"),0,K189)</f>
        <v>0</v>
      </c>
      <c r="U189" s="12"/>
    </row>
    <row r="190" customFormat="false" ht="15" hidden="false" customHeight="false" outlineLevel="0" collapsed="false">
      <c r="A190" s="37"/>
      <c r="B190" s="38"/>
      <c r="C190" s="37"/>
      <c r="D190" s="31" t="str">
        <f aca="false">IF($C190="","",IFERROR(INDEX(Employee_Master!$B$5:$B$104,MATCH($C190,Employee_Master!$A$5:$A$104,0)),"ID not found"))</f>
        <v/>
      </c>
      <c r="E190" s="31" t="str">
        <f aca="false">IF($C190="","",IFERROR(INDEX(Employee_Master!$C$5:$C$104,MATCH($C190,Employee_Master!$A$5:$A$104,0)),"ID not found"))</f>
        <v/>
      </c>
      <c r="F190" s="37"/>
      <c r="G190" s="37"/>
      <c r="H190" s="37"/>
      <c r="I190" s="12"/>
      <c r="J190" s="37"/>
      <c r="K190" s="31" t="str">
        <f aca="false">IF(J190="","",IFERROR(INDEX(Reference_Data!$T$5:$T$14,MATCH(J190,Reference_Data!$S$5:$S$14,0)),0))</f>
        <v/>
      </c>
      <c r="L190" s="38"/>
      <c r="M190" s="38"/>
      <c r="N190" s="38"/>
      <c r="O190" s="37"/>
      <c r="P190" s="37"/>
      <c r="Q190" s="37"/>
      <c r="R190" s="38"/>
      <c r="S190" s="37"/>
      <c r="T190" s="31" t="n">
        <f aca="false">IF(OR(K190="",N190="",S190="Voided / Rescinded"),0,K190)</f>
        <v>0</v>
      </c>
      <c r="U190" s="12"/>
    </row>
    <row r="191" customFormat="false" ht="15" hidden="false" customHeight="false" outlineLevel="0" collapsed="false">
      <c r="A191" s="37"/>
      <c r="B191" s="38"/>
      <c r="C191" s="37"/>
      <c r="D191" s="31" t="str">
        <f aca="false">IF($C191="","",IFERROR(INDEX(Employee_Master!$B$5:$B$104,MATCH($C191,Employee_Master!$A$5:$A$104,0)),"ID not found"))</f>
        <v/>
      </c>
      <c r="E191" s="31" t="str">
        <f aca="false">IF($C191="","",IFERROR(INDEX(Employee_Master!$C$5:$C$104,MATCH($C191,Employee_Master!$A$5:$A$104,0)),"ID not found"))</f>
        <v/>
      </c>
      <c r="F191" s="37"/>
      <c r="G191" s="37"/>
      <c r="H191" s="37"/>
      <c r="I191" s="12"/>
      <c r="J191" s="37"/>
      <c r="K191" s="31" t="str">
        <f aca="false">IF(J191="","",IFERROR(INDEX(Reference_Data!$T$5:$T$14,MATCH(J191,Reference_Data!$S$5:$S$14,0)),0))</f>
        <v/>
      </c>
      <c r="L191" s="38"/>
      <c r="M191" s="38"/>
      <c r="N191" s="38"/>
      <c r="O191" s="37"/>
      <c r="P191" s="37"/>
      <c r="Q191" s="37"/>
      <c r="R191" s="38"/>
      <c r="S191" s="37"/>
      <c r="T191" s="31" t="n">
        <f aca="false">IF(OR(K191="",N191="",S191="Voided / Rescinded"),0,K191)</f>
        <v>0</v>
      </c>
      <c r="U191" s="12"/>
    </row>
    <row r="192" customFormat="false" ht="15" hidden="false" customHeight="false" outlineLevel="0" collapsed="false">
      <c r="A192" s="37"/>
      <c r="B192" s="38"/>
      <c r="C192" s="37"/>
      <c r="D192" s="31" t="str">
        <f aca="false">IF($C192="","",IFERROR(INDEX(Employee_Master!$B$5:$B$104,MATCH($C192,Employee_Master!$A$5:$A$104,0)),"ID not found"))</f>
        <v/>
      </c>
      <c r="E192" s="31" t="str">
        <f aca="false">IF($C192="","",IFERROR(INDEX(Employee_Master!$C$5:$C$104,MATCH($C192,Employee_Master!$A$5:$A$104,0)),"ID not found"))</f>
        <v/>
      </c>
      <c r="F192" s="37"/>
      <c r="G192" s="37"/>
      <c r="H192" s="37"/>
      <c r="I192" s="12"/>
      <c r="J192" s="37"/>
      <c r="K192" s="31" t="str">
        <f aca="false">IF(J192="","",IFERROR(INDEX(Reference_Data!$T$5:$T$14,MATCH(J192,Reference_Data!$S$5:$S$14,0)),0))</f>
        <v/>
      </c>
      <c r="L192" s="38"/>
      <c r="M192" s="38"/>
      <c r="N192" s="38"/>
      <c r="O192" s="37"/>
      <c r="P192" s="37"/>
      <c r="Q192" s="37"/>
      <c r="R192" s="38"/>
      <c r="S192" s="37"/>
      <c r="T192" s="31" t="n">
        <f aca="false">IF(OR(K192="",N192="",S192="Voided / Rescinded"),0,K192)</f>
        <v>0</v>
      </c>
      <c r="U192" s="12"/>
    </row>
    <row r="193" customFormat="false" ht="15" hidden="false" customHeight="false" outlineLevel="0" collapsed="false">
      <c r="A193" s="37"/>
      <c r="B193" s="38"/>
      <c r="C193" s="37"/>
      <c r="D193" s="31" t="str">
        <f aca="false">IF($C193="","",IFERROR(INDEX(Employee_Master!$B$5:$B$104,MATCH($C193,Employee_Master!$A$5:$A$104,0)),"ID not found"))</f>
        <v/>
      </c>
      <c r="E193" s="31" t="str">
        <f aca="false">IF($C193="","",IFERROR(INDEX(Employee_Master!$C$5:$C$104,MATCH($C193,Employee_Master!$A$5:$A$104,0)),"ID not found"))</f>
        <v/>
      </c>
      <c r="F193" s="37"/>
      <c r="G193" s="37"/>
      <c r="H193" s="37"/>
      <c r="I193" s="12"/>
      <c r="J193" s="37"/>
      <c r="K193" s="31" t="str">
        <f aca="false">IF(J193="","",IFERROR(INDEX(Reference_Data!$T$5:$T$14,MATCH(J193,Reference_Data!$S$5:$S$14,0)),0))</f>
        <v/>
      </c>
      <c r="L193" s="38"/>
      <c r="M193" s="38"/>
      <c r="N193" s="38"/>
      <c r="O193" s="37"/>
      <c r="P193" s="37"/>
      <c r="Q193" s="37"/>
      <c r="R193" s="38"/>
      <c r="S193" s="37"/>
      <c r="T193" s="31" t="n">
        <f aca="false">IF(OR(K193="",N193="",S193="Voided / Rescinded"),0,K193)</f>
        <v>0</v>
      </c>
      <c r="U193" s="12"/>
    </row>
    <row r="194" customFormat="false" ht="15" hidden="false" customHeight="false" outlineLevel="0" collapsed="false">
      <c r="A194" s="37"/>
      <c r="B194" s="38"/>
      <c r="C194" s="37"/>
      <c r="D194" s="31" t="str">
        <f aca="false">IF($C194="","",IFERROR(INDEX(Employee_Master!$B$5:$B$104,MATCH($C194,Employee_Master!$A$5:$A$104,0)),"ID not found"))</f>
        <v/>
      </c>
      <c r="E194" s="31" t="str">
        <f aca="false">IF($C194="","",IFERROR(INDEX(Employee_Master!$C$5:$C$104,MATCH($C194,Employee_Master!$A$5:$A$104,0)),"ID not found"))</f>
        <v/>
      </c>
      <c r="F194" s="37"/>
      <c r="G194" s="37"/>
      <c r="H194" s="37"/>
      <c r="I194" s="12"/>
      <c r="J194" s="37"/>
      <c r="K194" s="31" t="str">
        <f aca="false">IF(J194="","",IFERROR(INDEX(Reference_Data!$T$5:$T$14,MATCH(J194,Reference_Data!$S$5:$S$14,0)),0))</f>
        <v/>
      </c>
      <c r="L194" s="38"/>
      <c r="M194" s="38"/>
      <c r="N194" s="38"/>
      <c r="O194" s="37"/>
      <c r="P194" s="37"/>
      <c r="Q194" s="37"/>
      <c r="R194" s="38"/>
      <c r="S194" s="37"/>
      <c r="T194" s="31" t="n">
        <f aca="false">IF(OR(K194="",N194="",S194="Voided / Rescinded"),0,K194)</f>
        <v>0</v>
      </c>
      <c r="U194" s="12"/>
    </row>
    <row r="195" customFormat="false" ht="15" hidden="false" customHeight="false" outlineLevel="0" collapsed="false">
      <c r="A195" s="37"/>
      <c r="B195" s="38"/>
      <c r="C195" s="37"/>
      <c r="D195" s="31" t="str">
        <f aca="false">IF($C195="","",IFERROR(INDEX(Employee_Master!$B$5:$B$104,MATCH($C195,Employee_Master!$A$5:$A$104,0)),"ID not found"))</f>
        <v/>
      </c>
      <c r="E195" s="31" t="str">
        <f aca="false">IF($C195="","",IFERROR(INDEX(Employee_Master!$C$5:$C$104,MATCH($C195,Employee_Master!$A$5:$A$104,0)),"ID not found"))</f>
        <v/>
      </c>
      <c r="F195" s="37"/>
      <c r="G195" s="37"/>
      <c r="H195" s="37"/>
      <c r="I195" s="12"/>
      <c r="J195" s="37"/>
      <c r="K195" s="31" t="str">
        <f aca="false">IF(J195="","",IFERROR(INDEX(Reference_Data!$T$5:$T$14,MATCH(J195,Reference_Data!$S$5:$S$14,0)),0))</f>
        <v/>
      </c>
      <c r="L195" s="38"/>
      <c r="M195" s="38"/>
      <c r="N195" s="38"/>
      <c r="O195" s="37"/>
      <c r="P195" s="37"/>
      <c r="Q195" s="37"/>
      <c r="R195" s="38"/>
      <c r="S195" s="37"/>
      <c r="T195" s="31" t="n">
        <f aca="false">IF(OR(K195="",N195="",S195="Voided / Rescinded"),0,K195)</f>
        <v>0</v>
      </c>
      <c r="U195" s="12"/>
    </row>
    <row r="196" customFormat="false" ht="15" hidden="false" customHeight="false" outlineLevel="0" collapsed="false">
      <c r="A196" s="37"/>
      <c r="B196" s="38"/>
      <c r="C196" s="37"/>
      <c r="D196" s="31" t="str">
        <f aca="false">IF($C196="","",IFERROR(INDEX(Employee_Master!$B$5:$B$104,MATCH($C196,Employee_Master!$A$5:$A$104,0)),"ID not found"))</f>
        <v/>
      </c>
      <c r="E196" s="31" t="str">
        <f aca="false">IF($C196="","",IFERROR(INDEX(Employee_Master!$C$5:$C$104,MATCH($C196,Employee_Master!$A$5:$A$104,0)),"ID not found"))</f>
        <v/>
      </c>
      <c r="F196" s="37"/>
      <c r="G196" s="37"/>
      <c r="H196" s="37"/>
      <c r="I196" s="12"/>
      <c r="J196" s="37"/>
      <c r="K196" s="31" t="str">
        <f aca="false">IF(J196="","",IFERROR(INDEX(Reference_Data!$T$5:$T$14,MATCH(J196,Reference_Data!$S$5:$S$14,0)),0))</f>
        <v/>
      </c>
      <c r="L196" s="38"/>
      <c r="M196" s="38"/>
      <c r="N196" s="38"/>
      <c r="O196" s="37"/>
      <c r="P196" s="37"/>
      <c r="Q196" s="37"/>
      <c r="R196" s="38"/>
      <c r="S196" s="37"/>
      <c r="T196" s="31" t="n">
        <f aca="false">IF(OR(K196="",N196="",S196="Voided / Rescinded"),0,K196)</f>
        <v>0</v>
      </c>
      <c r="U196" s="12"/>
    </row>
    <row r="197" customFormat="false" ht="15" hidden="false" customHeight="false" outlineLevel="0" collapsed="false">
      <c r="A197" s="37"/>
      <c r="B197" s="38"/>
      <c r="C197" s="37"/>
      <c r="D197" s="31" t="str">
        <f aca="false">IF($C197="","",IFERROR(INDEX(Employee_Master!$B$5:$B$104,MATCH($C197,Employee_Master!$A$5:$A$104,0)),"ID not found"))</f>
        <v/>
      </c>
      <c r="E197" s="31" t="str">
        <f aca="false">IF($C197="","",IFERROR(INDEX(Employee_Master!$C$5:$C$104,MATCH($C197,Employee_Master!$A$5:$A$104,0)),"ID not found"))</f>
        <v/>
      </c>
      <c r="F197" s="37"/>
      <c r="G197" s="37"/>
      <c r="H197" s="37"/>
      <c r="I197" s="12"/>
      <c r="J197" s="37"/>
      <c r="K197" s="31" t="str">
        <f aca="false">IF(J197="","",IFERROR(INDEX(Reference_Data!$T$5:$T$14,MATCH(J197,Reference_Data!$S$5:$S$14,0)),0))</f>
        <v/>
      </c>
      <c r="L197" s="38"/>
      <c r="M197" s="38"/>
      <c r="N197" s="38"/>
      <c r="O197" s="37"/>
      <c r="P197" s="37"/>
      <c r="Q197" s="37"/>
      <c r="R197" s="38"/>
      <c r="S197" s="37"/>
      <c r="T197" s="31" t="n">
        <f aca="false">IF(OR(K197="",N197="",S197="Voided / Rescinded"),0,K197)</f>
        <v>0</v>
      </c>
      <c r="U197" s="12"/>
    </row>
    <row r="198" customFormat="false" ht="15" hidden="false" customHeight="false" outlineLevel="0" collapsed="false">
      <c r="A198" s="37"/>
      <c r="B198" s="38"/>
      <c r="C198" s="37"/>
      <c r="D198" s="31" t="str">
        <f aca="false">IF($C198="","",IFERROR(INDEX(Employee_Master!$B$5:$B$104,MATCH($C198,Employee_Master!$A$5:$A$104,0)),"ID not found"))</f>
        <v/>
      </c>
      <c r="E198" s="31" t="str">
        <f aca="false">IF($C198="","",IFERROR(INDEX(Employee_Master!$C$5:$C$104,MATCH($C198,Employee_Master!$A$5:$A$104,0)),"ID not found"))</f>
        <v/>
      </c>
      <c r="F198" s="37"/>
      <c r="G198" s="37"/>
      <c r="H198" s="37"/>
      <c r="I198" s="12"/>
      <c r="J198" s="37"/>
      <c r="K198" s="31" t="str">
        <f aca="false">IF(J198="","",IFERROR(INDEX(Reference_Data!$T$5:$T$14,MATCH(J198,Reference_Data!$S$5:$S$14,0)),0))</f>
        <v/>
      </c>
      <c r="L198" s="38"/>
      <c r="M198" s="38"/>
      <c r="N198" s="38"/>
      <c r="O198" s="37"/>
      <c r="P198" s="37"/>
      <c r="Q198" s="37"/>
      <c r="R198" s="38"/>
      <c r="S198" s="37"/>
      <c r="T198" s="31" t="n">
        <f aca="false">IF(OR(K198="",N198="",S198="Voided / Rescinded"),0,K198)</f>
        <v>0</v>
      </c>
      <c r="U198" s="12"/>
    </row>
    <row r="199" customFormat="false" ht="15" hidden="false" customHeight="false" outlineLevel="0" collapsed="false">
      <c r="A199" s="37"/>
      <c r="B199" s="38"/>
      <c r="C199" s="37"/>
      <c r="D199" s="31" t="str">
        <f aca="false">IF($C199="","",IFERROR(INDEX(Employee_Master!$B$5:$B$104,MATCH($C199,Employee_Master!$A$5:$A$104,0)),"ID not found"))</f>
        <v/>
      </c>
      <c r="E199" s="31" t="str">
        <f aca="false">IF($C199="","",IFERROR(INDEX(Employee_Master!$C$5:$C$104,MATCH($C199,Employee_Master!$A$5:$A$104,0)),"ID not found"))</f>
        <v/>
      </c>
      <c r="F199" s="37"/>
      <c r="G199" s="37"/>
      <c r="H199" s="37"/>
      <c r="I199" s="12"/>
      <c r="J199" s="37"/>
      <c r="K199" s="31" t="str">
        <f aca="false">IF(J199="","",IFERROR(INDEX(Reference_Data!$T$5:$T$14,MATCH(J199,Reference_Data!$S$5:$S$14,0)),0))</f>
        <v/>
      </c>
      <c r="L199" s="38"/>
      <c r="M199" s="38"/>
      <c r="N199" s="38"/>
      <c r="O199" s="37"/>
      <c r="P199" s="37"/>
      <c r="Q199" s="37"/>
      <c r="R199" s="38"/>
      <c r="S199" s="37"/>
      <c r="T199" s="31" t="n">
        <f aca="false">IF(OR(K199="",N199="",S199="Voided / Rescinded"),0,K199)</f>
        <v>0</v>
      </c>
      <c r="U199" s="12"/>
    </row>
    <row r="200" customFormat="false" ht="15" hidden="false" customHeight="false" outlineLevel="0" collapsed="false">
      <c r="A200" s="37"/>
      <c r="B200" s="38"/>
      <c r="C200" s="37"/>
      <c r="D200" s="31" t="str">
        <f aca="false">IF($C200="","",IFERROR(INDEX(Employee_Master!$B$5:$B$104,MATCH($C200,Employee_Master!$A$5:$A$104,0)),"ID not found"))</f>
        <v/>
      </c>
      <c r="E200" s="31" t="str">
        <f aca="false">IF($C200="","",IFERROR(INDEX(Employee_Master!$C$5:$C$104,MATCH($C200,Employee_Master!$A$5:$A$104,0)),"ID not found"))</f>
        <v/>
      </c>
      <c r="F200" s="37"/>
      <c r="G200" s="37"/>
      <c r="H200" s="37"/>
      <c r="I200" s="12"/>
      <c r="J200" s="37"/>
      <c r="K200" s="31" t="str">
        <f aca="false">IF(J200="","",IFERROR(INDEX(Reference_Data!$T$5:$T$14,MATCH(J200,Reference_Data!$S$5:$S$14,0)),0))</f>
        <v/>
      </c>
      <c r="L200" s="38"/>
      <c r="M200" s="38"/>
      <c r="N200" s="38"/>
      <c r="O200" s="37"/>
      <c r="P200" s="37"/>
      <c r="Q200" s="37"/>
      <c r="R200" s="38"/>
      <c r="S200" s="37"/>
      <c r="T200" s="31" t="n">
        <f aca="false">IF(OR(K200="",N200="",S200="Voided / Rescinded"),0,K200)</f>
        <v>0</v>
      </c>
      <c r="U200" s="12"/>
    </row>
    <row r="201" customFormat="false" ht="15" hidden="false" customHeight="false" outlineLevel="0" collapsed="false">
      <c r="A201" s="37"/>
      <c r="B201" s="38"/>
      <c r="C201" s="37"/>
      <c r="D201" s="31" t="str">
        <f aca="false">IF($C201="","",IFERROR(INDEX(Employee_Master!$B$5:$B$104,MATCH($C201,Employee_Master!$A$5:$A$104,0)),"ID not found"))</f>
        <v/>
      </c>
      <c r="E201" s="31" t="str">
        <f aca="false">IF($C201="","",IFERROR(INDEX(Employee_Master!$C$5:$C$104,MATCH($C201,Employee_Master!$A$5:$A$104,0)),"ID not found"))</f>
        <v/>
      </c>
      <c r="F201" s="37"/>
      <c r="G201" s="37"/>
      <c r="H201" s="37"/>
      <c r="I201" s="12"/>
      <c r="J201" s="37"/>
      <c r="K201" s="31" t="str">
        <f aca="false">IF(J201="","",IFERROR(INDEX(Reference_Data!$T$5:$T$14,MATCH(J201,Reference_Data!$S$5:$S$14,0)),0))</f>
        <v/>
      </c>
      <c r="L201" s="38"/>
      <c r="M201" s="38"/>
      <c r="N201" s="38"/>
      <c r="O201" s="37"/>
      <c r="P201" s="37"/>
      <c r="Q201" s="37"/>
      <c r="R201" s="38"/>
      <c r="S201" s="37"/>
      <c r="T201" s="31" t="n">
        <f aca="false">IF(OR(K201="",N201="",S201="Voided / Rescinded"),0,K201)</f>
        <v>0</v>
      </c>
      <c r="U201" s="12"/>
    </row>
    <row r="202" customFormat="false" ht="15" hidden="false" customHeight="false" outlineLevel="0" collapsed="false">
      <c r="A202" s="37"/>
      <c r="B202" s="38"/>
      <c r="C202" s="37"/>
      <c r="D202" s="31" t="str">
        <f aca="false">IF($C202="","",IFERROR(INDEX(Employee_Master!$B$5:$B$104,MATCH($C202,Employee_Master!$A$5:$A$104,0)),"ID not found"))</f>
        <v/>
      </c>
      <c r="E202" s="31" t="str">
        <f aca="false">IF($C202="","",IFERROR(INDEX(Employee_Master!$C$5:$C$104,MATCH($C202,Employee_Master!$A$5:$A$104,0)),"ID not found"))</f>
        <v/>
      </c>
      <c r="F202" s="37"/>
      <c r="G202" s="37"/>
      <c r="H202" s="37"/>
      <c r="I202" s="12"/>
      <c r="J202" s="37"/>
      <c r="K202" s="31" t="str">
        <f aca="false">IF(J202="","",IFERROR(INDEX(Reference_Data!$T$5:$T$14,MATCH(J202,Reference_Data!$S$5:$S$14,0)),0))</f>
        <v/>
      </c>
      <c r="L202" s="38"/>
      <c r="M202" s="38"/>
      <c r="N202" s="38"/>
      <c r="O202" s="37"/>
      <c r="P202" s="37"/>
      <c r="Q202" s="37"/>
      <c r="R202" s="38"/>
      <c r="S202" s="37"/>
      <c r="T202" s="31" t="n">
        <f aca="false">IF(OR(K202="",N202="",S202="Voided / Rescinded"),0,K202)</f>
        <v>0</v>
      </c>
      <c r="U202" s="12"/>
    </row>
    <row r="203" customFormat="false" ht="15" hidden="false" customHeight="false" outlineLevel="0" collapsed="false">
      <c r="A203" s="37"/>
      <c r="B203" s="38"/>
      <c r="C203" s="37"/>
      <c r="D203" s="31" t="str">
        <f aca="false">IF($C203="","",IFERROR(INDEX(Employee_Master!$B$5:$B$104,MATCH($C203,Employee_Master!$A$5:$A$104,0)),"ID not found"))</f>
        <v/>
      </c>
      <c r="E203" s="31" t="str">
        <f aca="false">IF($C203="","",IFERROR(INDEX(Employee_Master!$C$5:$C$104,MATCH($C203,Employee_Master!$A$5:$A$104,0)),"ID not found"))</f>
        <v/>
      </c>
      <c r="F203" s="37"/>
      <c r="G203" s="37"/>
      <c r="H203" s="37"/>
      <c r="I203" s="12"/>
      <c r="J203" s="37"/>
      <c r="K203" s="31" t="str">
        <f aca="false">IF(J203="","",IFERROR(INDEX(Reference_Data!$T$5:$T$14,MATCH(J203,Reference_Data!$S$5:$S$14,0)),0))</f>
        <v/>
      </c>
      <c r="L203" s="38"/>
      <c r="M203" s="38"/>
      <c r="N203" s="38"/>
      <c r="O203" s="37"/>
      <c r="P203" s="37"/>
      <c r="Q203" s="37"/>
      <c r="R203" s="38"/>
      <c r="S203" s="37"/>
      <c r="T203" s="31" t="n">
        <f aca="false">IF(OR(K203="",N203="",S203="Voided / Rescinded"),0,K203)</f>
        <v>0</v>
      </c>
      <c r="U203" s="12"/>
    </row>
    <row r="204" customFormat="false" ht="15" hidden="false" customHeight="false" outlineLevel="0" collapsed="false">
      <c r="A204" s="37"/>
      <c r="B204" s="38"/>
      <c r="C204" s="37"/>
      <c r="D204" s="31" t="str">
        <f aca="false">IF($C204="","",IFERROR(INDEX(Employee_Master!$B$5:$B$104,MATCH($C204,Employee_Master!$A$5:$A$104,0)),"ID not found"))</f>
        <v/>
      </c>
      <c r="E204" s="31" t="str">
        <f aca="false">IF($C204="","",IFERROR(INDEX(Employee_Master!$C$5:$C$104,MATCH($C204,Employee_Master!$A$5:$A$104,0)),"ID not found"))</f>
        <v/>
      </c>
      <c r="F204" s="37"/>
      <c r="G204" s="37"/>
      <c r="H204" s="37"/>
      <c r="I204" s="12"/>
      <c r="J204" s="37"/>
      <c r="K204" s="31" t="str">
        <f aca="false">IF(J204="","",IFERROR(INDEX(Reference_Data!$T$5:$T$14,MATCH(J204,Reference_Data!$S$5:$S$14,0)),0))</f>
        <v/>
      </c>
      <c r="L204" s="38"/>
      <c r="M204" s="38"/>
      <c r="N204" s="38"/>
      <c r="O204" s="37"/>
      <c r="P204" s="37"/>
      <c r="Q204" s="37"/>
      <c r="R204" s="38"/>
      <c r="S204" s="37"/>
      <c r="T204" s="31" t="n">
        <f aca="false">IF(OR(K204="",N204="",S204="Voided / Rescinded"),0,K204)</f>
        <v>0</v>
      </c>
      <c r="U204" s="12"/>
    </row>
    <row r="205" customFormat="false" ht="15" hidden="false" customHeight="false" outlineLevel="0" collapsed="false">
      <c r="A205" s="37"/>
      <c r="B205" s="38"/>
      <c r="C205" s="37"/>
      <c r="D205" s="31" t="str">
        <f aca="false">IF($C205="","",IFERROR(INDEX(Employee_Master!$B$5:$B$104,MATCH($C205,Employee_Master!$A$5:$A$104,0)),"ID not found"))</f>
        <v/>
      </c>
      <c r="E205" s="31" t="str">
        <f aca="false">IF($C205="","",IFERROR(INDEX(Employee_Master!$C$5:$C$104,MATCH($C205,Employee_Master!$A$5:$A$104,0)),"ID not found"))</f>
        <v/>
      </c>
      <c r="F205" s="37"/>
      <c r="G205" s="37"/>
      <c r="H205" s="37"/>
      <c r="I205" s="12"/>
      <c r="J205" s="37"/>
      <c r="K205" s="31" t="str">
        <f aca="false">IF(J205="","",IFERROR(INDEX(Reference_Data!$T$5:$T$14,MATCH(J205,Reference_Data!$S$5:$S$14,0)),0))</f>
        <v/>
      </c>
      <c r="L205" s="38"/>
      <c r="M205" s="38"/>
      <c r="N205" s="38"/>
      <c r="O205" s="37"/>
      <c r="P205" s="37"/>
      <c r="Q205" s="37"/>
      <c r="R205" s="38"/>
      <c r="S205" s="37"/>
      <c r="T205" s="31" t="n">
        <f aca="false">IF(OR(K205="",N205="",S205="Voided / Rescinded"),0,K205)</f>
        <v>0</v>
      </c>
      <c r="U205" s="12"/>
    </row>
    <row r="206" customFormat="false" ht="15" hidden="false" customHeight="false" outlineLevel="0" collapsed="false">
      <c r="A206" s="37"/>
      <c r="B206" s="38"/>
      <c r="C206" s="37"/>
      <c r="D206" s="31" t="str">
        <f aca="false">IF($C206="","",IFERROR(INDEX(Employee_Master!$B$5:$B$104,MATCH($C206,Employee_Master!$A$5:$A$104,0)),"ID not found"))</f>
        <v/>
      </c>
      <c r="E206" s="31" t="str">
        <f aca="false">IF($C206="","",IFERROR(INDEX(Employee_Master!$C$5:$C$104,MATCH($C206,Employee_Master!$A$5:$A$104,0)),"ID not found"))</f>
        <v/>
      </c>
      <c r="F206" s="37"/>
      <c r="G206" s="37"/>
      <c r="H206" s="37"/>
      <c r="I206" s="12"/>
      <c r="J206" s="37"/>
      <c r="K206" s="31" t="str">
        <f aca="false">IF(J206="","",IFERROR(INDEX(Reference_Data!$T$5:$T$14,MATCH(J206,Reference_Data!$S$5:$S$14,0)),0))</f>
        <v/>
      </c>
      <c r="L206" s="38"/>
      <c r="M206" s="38"/>
      <c r="N206" s="38"/>
      <c r="O206" s="37"/>
      <c r="P206" s="37"/>
      <c r="Q206" s="37"/>
      <c r="R206" s="38"/>
      <c r="S206" s="37"/>
      <c r="T206" s="31" t="n">
        <f aca="false">IF(OR(K206="",N206="",S206="Voided / Rescinded"),0,K206)</f>
        <v>0</v>
      </c>
      <c r="U206" s="12"/>
    </row>
    <row r="207" customFormat="false" ht="15" hidden="false" customHeight="false" outlineLevel="0" collapsed="false">
      <c r="A207" s="37"/>
      <c r="B207" s="38"/>
      <c r="C207" s="37"/>
      <c r="D207" s="31" t="str">
        <f aca="false">IF($C207="","",IFERROR(INDEX(Employee_Master!$B$5:$B$104,MATCH($C207,Employee_Master!$A$5:$A$104,0)),"ID not found"))</f>
        <v/>
      </c>
      <c r="E207" s="31" t="str">
        <f aca="false">IF($C207="","",IFERROR(INDEX(Employee_Master!$C$5:$C$104,MATCH($C207,Employee_Master!$A$5:$A$104,0)),"ID not found"))</f>
        <v/>
      </c>
      <c r="F207" s="37"/>
      <c r="G207" s="37"/>
      <c r="H207" s="37"/>
      <c r="I207" s="12"/>
      <c r="J207" s="37"/>
      <c r="K207" s="31" t="str">
        <f aca="false">IF(J207="","",IFERROR(INDEX(Reference_Data!$T$5:$T$14,MATCH(J207,Reference_Data!$S$5:$S$14,0)),0))</f>
        <v/>
      </c>
      <c r="L207" s="38"/>
      <c r="M207" s="38"/>
      <c r="N207" s="38"/>
      <c r="O207" s="37"/>
      <c r="P207" s="37"/>
      <c r="Q207" s="37"/>
      <c r="R207" s="38"/>
      <c r="S207" s="37"/>
      <c r="T207" s="31" t="n">
        <f aca="false">IF(OR(K207="",N207="",S207="Voided / Rescinded"),0,K207)</f>
        <v>0</v>
      </c>
      <c r="U207" s="12"/>
    </row>
    <row r="208" customFormat="false" ht="15" hidden="false" customHeight="false" outlineLevel="0" collapsed="false">
      <c r="A208" s="37"/>
      <c r="B208" s="38"/>
      <c r="C208" s="37"/>
      <c r="D208" s="31" t="str">
        <f aca="false">IF($C208="","",IFERROR(INDEX(Employee_Master!$B$5:$B$104,MATCH($C208,Employee_Master!$A$5:$A$104,0)),"ID not found"))</f>
        <v/>
      </c>
      <c r="E208" s="31" t="str">
        <f aca="false">IF($C208="","",IFERROR(INDEX(Employee_Master!$C$5:$C$104,MATCH($C208,Employee_Master!$A$5:$A$104,0)),"ID not found"))</f>
        <v/>
      </c>
      <c r="F208" s="37"/>
      <c r="G208" s="37"/>
      <c r="H208" s="37"/>
      <c r="I208" s="12"/>
      <c r="J208" s="37"/>
      <c r="K208" s="31" t="str">
        <f aca="false">IF(J208="","",IFERROR(INDEX(Reference_Data!$T$5:$T$14,MATCH(J208,Reference_Data!$S$5:$S$14,0)),0))</f>
        <v/>
      </c>
      <c r="L208" s="38"/>
      <c r="M208" s="38"/>
      <c r="N208" s="38"/>
      <c r="O208" s="37"/>
      <c r="P208" s="37"/>
      <c r="Q208" s="37"/>
      <c r="R208" s="38"/>
      <c r="S208" s="37"/>
      <c r="T208" s="31" t="n">
        <f aca="false">IF(OR(K208="",N208="",S208="Voided / Rescinded"),0,K208)</f>
        <v>0</v>
      </c>
      <c r="U208" s="12"/>
    </row>
    <row r="209" customFormat="false" ht="15" hidden="false" customHeight="false" outlineLevel="0" collapsed="false">
      <c r="A209" s="37"/>
      <c r="B209" s="38"/>
      <c r="C209" s="37"/>
      <c r="D209" s="31" t="str">
        <f aca="false">IF($C209="","",IFERROR(INDEX(Employee_Master!$B$5:$B$104,MATCH($C209,Employee_Master!$A$5:$A$104,0)),"ID not found"))</f>
        <v/>
      </c>
      <c r="E209" s="31" t="str">
        <f aca="false">IF($C209="","",IFERROR(INDEX(Employee_Master!$C$5:$C$104,MATCH($C209,Employee_Master!$A$5:$A$104,0)),"ID not found"))</f>
        <v/>
      </c>
      <c r="F209" s="37"/>
      <c r="G209" s="37"/>
      <c r="H209" s="37"/>
      <c r="I209" s="12"/>
      <c r="J209" s="37"/>
      <c r="K209" s="31" t="str">
        <f aca="false">IF(J209="","",IFERROR(INDEX(Reference_Data!$T$5:$T$14,MATCH(J209,Reference_Data!$S$5:$S$14,0)),0))</f>
        <v/>
      </c>
      <c r="L209" s="38"/>
      <c r="M209" s="38"/>
      <c r="N209" s="38"/>
      <c r="O209" s="37"/>
      <c r="P209" s="37"/>
      <c r="Q209" s="37"/>
      <c r="R209" s="38"/>
      <c r="S209" s="37"/>
      <c r="T209" s="31" t="n">
        <f aca="false">IF(OR(K209="",N209="",S209="Voided / Rescinded"),0,K209)</f>
        <v>0</v>
      </c>
      <c r="U209" s="12"/>
    </row>
    <row r="210" customFormat="false" ht="15" hidden="false" customHeight="false" outlineLevel="0" collapsed="false">
      <c r="A210" s="37"/>
      <c r="B210" s="38"/>
      <c r="C210" s="37"/>
      <c r="D210" s="31" t="str">
        <f aca="false">IF($C210="","",IFERROR(INDEX(Employee_Master!$B$5:$B$104,MATCH($C210,Employee_Master!$A$5:$A$104,0)),"ID not found"))</f>
        <v/>
      </c>
      <c r="E210" s="31" t="str">
        <f aca="false">IF($C210="","",IFERROR(INDEX(Employee_Master!$C$5:$C$104,MATCH($C210,Employee_Master!$A$5:$A$104,0)),"ID not found"))</f>
        <v/>
      </c>
      <c r="F210" s="37"/>
      <c r="G210" s="37"/>
      <c r="H210" s="37"/>
      <c r="I210" s="12"/>
      <c r="J210" s="37"/>
      <c r="K210" s="31" t="str">
        <f aca="false">IF(J210="","",IFERROR(INDEX(Reference_Data!$T$5:$T$14,MATCH(J210,Reference_Data!$S$5:$S$14,0)),0))</f>
        <v/>
      </c>
      <c r="L210" s="38"/>
      <c r="M210" s="38"/>
      <c r="N210" s="38"/>
      <c r="O210" s="37"/>
      <c r="P210" s="37"/>
      <c r="Q210" s="37"/>
      <c r="R210" s="38"/>
      <c r="S210" s="37"/>
      <c r="T210" s="31" t="n">
        <f aca="false">IF(OR(K210="",N210="",S210="Voided / Rescinded"),0,K210)</f>
        <v>0</v>
      </c>
      <c r="U210" s="12"/>
    </row>
    <row r="211" customFormat="false" ht="15" hidden="false" customHeight="false" outlineLevel="0" collapsed="false">
      <c r="A211" s="37"/>
      <c r="B211" s="38"/>
      <c r="C211" s="37"/>
      <c r="D211" s="31" t="str">
        <f aca="false">IF($C211="","",IFERROR(INDEX(Employee_Master!$B$5:$B$104,MATCH($C211,Employee_Master!$A$5:$A$104,0)),"ID not found"))</f>
        <v/>
      </c>
      <c r="E211" s="31" t="str">
        <f aca="false">IF($C211="","",IFERROR(INDEX(Employee_Master!$C$5:$C$104,MATCH($C211,Employee_Master!$A$5:$A$104,0)),"ID not found"))</f>
        <v/>
      </c>
      <c r="F211" s="37"/>
      <c r="G211" s="37"/>
      <c r="H211" s="37"/>
      <c r="I211" s="12"/>
      <c r="J211" s="37"/>
      <c r="K211" s="31" t="str">
        <f aca="false">IF(J211="","",IFERROR(INDEX(Reference_Data!$T$5:$T$14,MATCH(J211,Reference_Data!$S$5:$S$14,0)),0))</f>
        <v/>
      </c>
      <c r="L211" s="38"/>
      <c r="M211" s="38"/>
      <c r="N211" s="38"/>
      <c r="O211" s="37"/>
      <c r="P211" s="37"/>
      <c r="Q211" s="37"/>
      <c r="R211" s="38"/>
      <c r="S211" s="37"/>
      <c r="T211" s="31" t="n">
        <f aca="false">IF(OR(K211="",N211="",S211="Voided / Rescinded"),0,K211)</f>
        <v>0</v>
      </c>
      <c r="U211" s="12"/>
    </row>
    <row r="212" customFormat="false" ht="15" hidden="false" customHeight="false" outlineLevel="0" collapsed="false">
      <c r="A212" s="37"/>
      <c r="B212" s="38"/>
      <c r="C212" s="37"/>
      <c r="D212" s="31" t="str">
        <f aca="false">IF($C212="","",IFERROR(INDEX(Employee_Master!$B$5:$B$104,MATCH($C212,Employee_Master!$A$5:$A$104,0)),"ID not found"))</f>
        <v/>
      </c>
      <c r="E212" s="31" t="str">
        <f aca="false">IF($C212="","",IFERROR(INDEX(Employee_Master!$C$5:$C$104,MATCH($C212,Employee_Master!$A$5:$A$104,0)),"ID not found"))</f>
        <v/>
      </c>
      <c r="F212" s="37"/>
      <c r="G212" s="37"/>
      <c r="H212" s="37"/>
      <c r="I212" s="12"/>
      <c r="J212" s="37"/>
      <c r="K212" s="31" t="str">
        <f aca="false">IF(J212="","",IFERROR(INDEX(Reference_Data!$T$5:$T$14,MATCH(J212,Reference_Data!$S$5:$S$14,0)),0))</f>
        <v/>
      </c>
      <c r="L212" s="38"/>
      <c r="M212" s="38"/>
      <c r="N212" s="38"/>
      <c r="O212" s="37"/>
      <c r="P212" s="37"/>
      <c r="Q212" s="37"/>
      <c r="R212" s="38"/>
      <c r="S212" s="37"/>
      <c r="T212" s="31" t="n">
        <f aca="false">IF(OR(K212="",N212="",S212="Voided / Rescinded"),0,K212)</f>
        <v>0</v>
      </c>
      <c r="U212" s="12"/>
    </row>
    <row r="213" customFormat="false" ht="15" hidden="false" customHeight="false" outlineLevel="0" collapsed="false">
      <c r="A213" s="37"/>
      <c r="B213" s="38"/>
      <c r="C213" s="37"/>
      <c r="D213" s="31" t="str">
        <f aca="false">IF($C213="","",IFERROR(INDEX(Employee_Master!$B$5:$B$104,MATCH($C213,Employee_Master!$A$5:$A$104,0)),"ID not found"))</f>
        <v/>
      </c>
      <c r="E213" s="31" t="str">
        <f aca="false">IF($C213="","",IFERROR(INDEX(Employee_Master!$C$5:$C$104,MATCH($C213,Employee_Master!$A$5:$A$104,0)),"ID not found"))</f>
        <v/>
      </c>
      <c r="F213" s="37"/>
      <c r="G213" s="37"/>
      <c r="H213" s="37"/>
      <c r="I213" s="12"/>
      <c r="J213" s="37"/>
      <c r="K213" s="31" t="str">
        <f aca="false">IF(J213="","",IFERROR(INDEX(Reference_Data!$T$5:$T$14,MATCH(J213,Reference_Data!$S$5:$S$14,0)),0))</f>
        <v/>
      </c>
      <c r="L213" s="38"/>
      <c r="M213" s="38"/>
      <c r="N213" s="38"/>
      <c r="O213" s="37"/>
      <c r="P213" s="37"/>
      <c r="Q213" s="37"/>
      <c r="R213" s="38"/>
      <c r="S213" s="37"/>
      <c r="T213" s="31" t="n">
        <f aca="false">IF(OR(K213="",N213="",S213="Voided / Rescinded"),0,K213)</f>
        <v>0</v>
      </c>
      <c r="U213" s="12"/>
    </row>
    <row r="214" customFormat="false" ht="15" hidden="false" customHeight="false" outlineLevel="0" collapsed="false">
      <c r="A214" s="37"/>
      <c r="B214" s="38"/>
      <c r="C214" s="37"/>
      <c r="D214" s="31" t="str">
        <f aca="false">IF($C214="","",IFERROR(INDEX(Employee_Master!$B$5:$B$104,MATCH($C214,Employee_Master!$A$5:$A$104,0)),"ID not found"))</f>
        <v/>
      </c>
      <c r="E214" s="31" t="str">
        <f aca="false">IF($C214="","",IFERROR(INDEX(Employee_Master!$C$5:$C$104,MATCH($C214,Employee_Master!$A$5:$A$104,0)),"ID not found"))</f>
        <v/>
      </c>
      <c r="F214" s="37"/>
      <c r="G214" s="37"/>
      <c r="H214" s="37"/>
      <c r="I214" s="12"/>
      <c r="J214" s="37"/>
      <c r="K214" s="31" t="str">
        <f aca="false">IF(J214="","",IFERROR(INDEX(Reference_Data!$T$5:$T$14,MATCH(J214,Reference_Data!$S$5:$S$14,0)),0))</f>
        <v/>
      </c>
      <c r="L214" s="38"/>
      <c r="M214" s="38"/>
      <c r="N214" s="38"/>
      <c r="O214" s="37"/>
      <c r="P214" s="37"/>
      <c r="Q214" s="37"/>
      <c r="R214" s="38"/>
      <c r="S214" s="37"/>
      <c r="T214" s="31" t="n">
        <f aca="false">IF(OR(K214="",N214="",S214="Voided / Rescinded"),0,K214)</f>
        <v>0</v>
      </c>
      <c r="U214" s="12"/>
    </row>
    <row r="215" customFormat="false" ht="15" hidden="false" customHeight="false" outlineLevel="0" collapsed="false">
      <c r="A215" s="37"/>
      <c r="B215" s="38"/>
      <c r="C215" s="37"/>
      <c r="D215" s="31" t="str">
        <f aca="false">IF($C215="","",IFERROR(INDEX(Employee_Master!$B$5:$B$104,MATCH($C215,Employee_Master!$A$5:$A$104,0)),"ID not found"))</f>
        <v/>
      </c>
      <c r="E215" s="31" t="str">
        <f aca="false">IF($C215="","",IFERROR(INDEX(Employee_Master!$C$5:$C$104,MATCH($C215,Employee_Master!$A$5:$A$104,0)),"ID not found"))</f>
        <v/>
      </c>
      <c r="F215" s="37"/>
      <c r="G215" s="37"/>
      <c r="H215" s="37"/>
      <c r="I215" s="12"/>
      <c r="J215" s="37"/>
      <c r="K215" s="31" t="str">
        <f aca="false">IF(J215="","",IFERROR(INDEX(Reference_Data!$T$5:$T$14,MATCH(J215,Reference_Data!$S$5:$S$14,0)),0))</f>
        <v/>
      </c>
      <c r="L215" s="38"/>
      <c r="M215" s="38"/>
      <c r="N215" s="38"/>
      <c r="O215" s="37"/>
      <c r="P215" s="37"/>
      <c r="Q215" s="37"/>
      <c r="R215" s="38"/>
      <c r="S215" s="37"/>
      <c r="T215" s="31" t="n">
        <f aca="false">IF(OR(K215="",N215="",S215="Voided / Rescinded"),0,K215)</f>
        <v>0</v>
      </c>
      <c r="U215" s="12"/>
    </row>
    <row r="216" customFormat="false" ht="15" hidden="false" customHeight="false" outlineLevel="0" collapsed="false">
      <c r="A216" s="37"/>
      <c r="B216" s="38"/>
      <c r="C216" s="37"/>
      <c r="D216" s="31" t="str">
        <f aca="false">IF($C216="","",IFERROR(INDEX(Employee_Master!$B$5:$B$104,MATCH($C216,Employee_Master!$A$5:$A$104,0)),"ID not found"))</f>
        <v/>
      </c>
      <c r="E216" s="31" t="str">
        <f aca="false">IF($C216="","",IFERROR(INDEX(Employee_Master!$C$5:$C$104,MATCH($C216,Employee_Master!$A$5:$A$104,0)),"ID not found"))</f>
        <v/>
      </c>
      <c r="F216" s="37"/>
      <c r="G216" s="37"/>
      <c r="H216" s="37"/>
      <c r="I216" s="12"/>
      <c r="J216" s="37"/>
      <c r="K216" s="31" t="str">
        <f aca="false">IF(J216="","",IFERROR(INDEX(Reference_Data!$T$5:$T$14,MATCH(J216,Reference_Data!$S$5:$S$14,0)),0))</f>
        <v/>
      </c>
      <c r="L216" s="38"/>
      <c r="M216" s="38"/>
      <c r="N216" s="38"/>
      <c r="O216" s="37"/>
      <c r="P216" s="37"/>
      <c r="Q216" s="37"/>
      <c r="R216" s="38"/>
      <c r="S216" s="37"/>
      <c r="T216" s="31" t="n">
        <f aca="false">IF(OR(K216="",N216="",S216="Voided / Rescinded"),0,K216)</f>
        <v>0</v>
      </c>
      <c r="U216" s="12"/>
    </row>
    <row r="217" customFormat="false" ht="15" hidden="false" customHeight="false" outlineLevel="0" collapsed="false">
      <c r="A217" s="37"/>
      <c r="B217" s="38"/>
      <c r="C217" s="37"/>
      <c r="D217" s="31" t="str">
        <f aca="false">IF($C217="","",IFERROR(INDEX(Employee_Master!$B$5:$B$104,MATCH($C217,Employee_Master!$A$5:$A$104,0)),"ID not found"))</f>
        <v/>
      </c>
      <c r="E217" s="31" t="str">
        <f aca="false">IF($C217="","",IFERROR(INDEX(Employee_Master!$C$5:$C$104,MATCH($C217,Employee_Master!$A$5:$A$104,0)),"ID not found"))</f>
        <v/>
      </c>
      <c r="F217" s="37"/>
      <c r="G217" s="37"/>
      <c r="H217" s="37"/>
      <c r="I217" s="12"/>
      <c r="J217" s="37"/>
      <c r="K217" s="31" t="str">
        <f aca="false">IF(J217="","",IFERROR(INDEX(Reference_Data!$T$5:$T$14,MATCH(J217,Reference_Data!$S$5:$S$14,0)),0))</f>
        <v/>
      </c>
      <c r="L217" s="38"/>
      <c r="M217" s="38"/>
      <c r="N217" s="38"/>
      <c r="O217" s="37"/>
      <c r="P217" s="37"/>
      <c r="Q217" s="37"/>
      <c r="R217" s="38"/>
      <c r="S217" s="37"/>
      <c r="T217" s="31" t="n">
        <f aca="false">IF(OR(K217="",N217="",S217="Voided / Rescinded"),0,K217)</f>
        <v>0</v>
      </c>
      <c r="U217" s="12"/>
    </row>
    <row r="218" customFormat="false" ht="15" hidden="false" customHeight="false" outlineLevel="0" collapsed="false">
      <c r="A218" s="37"/>
      <c r="B218" s="38"/>
      <c r="C218" s="37"/>
      <c r="D218" s="31" t="str">
        <f aca="false">IF($C218="","",IFERROR(INDEX(Employee_Master!$B$5:$B$104,MATCH($C218,Employee_Master!$A$5:$A$104,0)),"ID not found"))</f>
        <v/>
      </c>
      <c r="E218" s="31" t="str">
        <f aca="false">IF($C218="","",IFERROR(INDEX(Employee_Master!$C$5:$C$104,MATCH($C218,Employee_Master!$A$5:$A$104,0)),"ID not found"))</f>
        <v/>
      </c>
      <c r="F218" s="37"/>
      <c r="G218" s="37"/>
      <c r="H218" s="37"/>
      <c r="I218" s="12"/>
      <c r="J218" s="37"/>
      <c r="K218" s="31" t="str">
        <f aca="false">IF(J218="","",IFERROR(INDEX(Reference_Data!$T$5:$T$14,MATCH(J218,Reference_Data!$S$5:$S$14,0)),0))</f>
        <v/>
      </c>
      <c r="L218" s="38"/>
      <c r="M218" s="38"/>
      <c r="N218" s="38"/>
      <c r="O218" s="37"/>
      <c r="P218" s="37"/>
      <c r="Q218" s="37"/>
      <c r="R218" s="38"/>
      <c r="S218" s="37"/>
      <c r="T218" s="31" t="n">
        <f aca="false">IF(OR(K218="",N218="",S218="Voided / Rescinded"),0,K218)</f>
        <v>0</v>
      </c>
      <c r="U218" s="12"/>
    </row>
    <row r="219" customFormat="false" ht="15" hidden="false" customHeight="false" outlineLevel="0" collapsed="false">
      <c r="A219" s="37"/>
      <c r="B219" s="38"/>
      <c r="C219" s="37"/>
      <c r="D219" s="31" t="str">
        <f aca="false">IF($C219="","",IFERROR(INDEX(Employee_Master!$B$5:$B$104,MATCH($C219,Employee_Master!$A$5:$A$104,0)),"ID not found"))</f>
        <v/>
      </c>
      <c r="E219" s="31" t="str">
        <f aca="false">IF($C219="","",IFERROR(INDEX(Employee_Master!$C$5:$C$104,MATCH($C219,Employee_Master!$A$5:$A$104,0)),"ID not found"))</f>
        <v/>
      </c>
      <c r="F219" s="37"/>
      <c r="G219" s="37"/>
      <c r="H219" s="37"/>
      <c r="I219" s="12"/>
      <c r="J219" s="37"/>
      <c r="K219" s="31" t="str">
        <f aca="false">IF(J219="","",IFERROR(INDEX(Reference_Data!$T$5:$T$14,MATCH(J219,Reference_Data!$S$5:$S$14,0)),0))</f>
        <v/>
      </c>
      <c r="L219" s="38"/>
      <c r="M219" s="38"/>
      <c r="N219" s="38"/>
      <c r="O219" s="37"/>
      <c r="P219" s="37"/>
      <c r="Q219" s="37"/>
      <c r="R219" s="38"/>
      <c r="S219" s="37"/>
      <c r="T219" s="31" t="n">
        <f aca="false">IF(OR(K219="",N219="",S219="Voided / Rescinded"),0,K219)</f>
        <v>0</v>
      </c>
      <c r="U219" s="12"/>
    </row>
    <row r="220" customFormat="false" ht="15" hidden="false" customHeight="false" outlineLevel="0" collapsed="false">
      <c r="A220" s="37"/>
      <c r="B220" s="38"/>
      <c r="C220" s="37"/>
      <c r="D220" s="31" t="str">
        <f aca="false">IF($C220="","",IFERROR(INDEX(Employee_Master!$B$5:$B$104,MATCH($C220,Employee_Master!$A$5:$A$104,0)),"ID not found"))</f>
        <v/>
      </c>
      <c r="E220" s="31" t="str">
        <f aca="false">IF($C220="","",IFERROR(INDEX(Employee_Master!$C$5:$C$104,MATCH($C220,Employee_Master!$A$5:$A$104,0)),"ID not found"))</f>
        <v/>
      </c>
      <c r="F220" s="37"/>
      <c r="G220" s="37"/>
      <c r="H220" s="37"/>
      <c r="I220" s="12"/>
      <c r="J220" s="37"/>
      <c r="K220" s="31" t="str">
        <f aca="false">IF(J220="","",IFERROR(INDEX(Reference_Data!$T$5:$T$14,MATCH(J220,Reference_Data!$S$5:$S$14,0)),0))</f>
        <v/>
      </c>
      <c r="L220" s="38"/>
      <c r="M220" s="38"/>
      <c r="N220" s="38"/>
      <c r="O220" s="37"/>
      <c r="P220" s="37"/>
      <c r="Q220" s="37"/>
      <c r="R220" s="38"/>
      <c r="S220" s="37"/>
      <c r="T220" s="31" t="n">
        <f aca="false">IF(OR(K220="",N220="",S220="Voided / Rescinded"),0,K220)</f>
        <v>0</v>
      </c>
      <c r="U220" s="12"/>
    </row>
    <row r="221" customFormat="false" ht="15" hidden="false" customHeight="false" outlineLevel="0" collapsed="false">
      <c r="A221" s="37"/>
      <c r="B221" s="38"/>
      <c r="C221" s="37"/>
      <c r="D221" s="31" t="str">
        <f aca="false">IF($C221="","",IFERROR(INDEX(Employee_Master!$B$5:$B$104,MATCH($C221,Employee_Master!$A$5:$A$104,0)),"ID not found"))</f>
        <v/>
      </c>
      <c r="E221" s="31" t="str">
        <f aca="false">IF($C221="","",IFERROR(INDEX(Employee_Master!$C$5:$C$104,MATCH($C221,Employee_Master!$A$5:$A$104,0)),"ID not found"))</f>
        <v/>
      </c>
      <c r="F221" s="37"/>
      <c r="G221" s="37"/>
      <c r="H221" s="37"/>
      <c r="I221" s="12"/>
      <c r="J221" s="37"/>
      <c r="K221" s="31" t="str">
        <f aca="false">IF(J221="","",IFERROR(INDEX(Reference_Data!$T$5:$T$14,MATCH(J221,Reference_Data!$S$5:$S$14,0)),0))</f>
        <v/>
      </c>
      <c r="L221" s="38"/>
      <c r="M221" s="38"/>
      <c r="N221" s="38"/>
      <c r="O221" s="37"/>
      <c r="P221" s="37"/>
      <c r="Q221" s="37"/>
      <c r="R221" s="38"/>
      <c r="S221" s="37"/>
      <c r="T221" s="31" t="n">
        <f aca="false">IF(OR(K221="",N221="",S221="Voided / Rescinded"),0,K221)</f>
        <v>0</v>
      </c>
      <c r="U221" s="12"/>
    </row>
    <row r="222" customFormat="false" ht="15" hidden="false" customHeight="false" outlineLevel="0" collapsed="false">
      <c r="A222" s="37"/>
      <c r="B222" s="38"/>
      <c r="C222" s="37"/>
      <c r="D222" s="31" t="str">
        <f aca="false">IF($C222="","",IFERROR(INDEX(Employee_Master!$B$5:$B$104,MATCH($C222,Employee_Master!$A$5:$A$104,0)),"ID not found"))</f>
        <v/>
      </c>
      <c r="E222" s="31" t="str">
        <f aca="false">IF($C222="","",IFERROR(INDEX(Employee_Master!$C$5:$C$104,MATCH($C222,Employee_Master!$A$5:$A$104,0)),"ID not found"))</f>
        <v/>
      </c>
      <c r="F222" s="37"/>
      <c r="G222" s="37"/>
      <c r="H222" s="37"/>
      <c r="I222" s="12"/>
      <c r="J222" s="37"/>
      <c r="K222" s="31" t="str">
        <f aca="false">IF(J222="","",IFERROR(INDEX(Reference_Data!$T$5:$T$14,MATCH(J222,Reference_Data!$S$5:$S$14,0)),0))</f>
        <v/>
      </c>
      <c r="L222" s="38"/>
      <c r="M222" s="38"/>
      <c r="N222" s="38"/>
      <c r="O222" s="37"/>
      <c r="P222" s="37"/>
      <c r="Q222" s="37"/>
      <c r="R222" s="38"/>
      <c r="S222" s="37"/>
      <c r="T222" s="31" t="n">
        <f aca="false">IF(OR(K222="",N222="",S222="Voided / Rescinded"),0,K222)</f>
        <v>0</v>
      </c>
      <c r="U222" s="12"/>
    </row>
    <row r="223" customFormat="false" ht="15" hidden="false" customHeight="false" outlineLevel="0" collapsed="false">
      <c r="A223" s="37"/>
      <c r="B223" s="38"/>
      <c r="C223" s="37"/>
      <c r="D223" s="31" t="str">
        <f aca="false">IF($C223="","",IFERROR(INDEX(Employee_Master!$B$5:$B$104,MATCH($C223,Employee_Master!$A$5:$A$104,0)),"ID not found"))</f>
        <v/>
      </c>
      <c r="E223" s="31" t="str">
        <f aca="false">IF($C223="","",IFERROR(INDEX(Employee_Master!$C$5:$C$104,MATCH($C223,Employee_Master!$A$5:$A$104,0)),"ID not found"))</f>
        <v/>
      </c>
      <c r="F223" s="37"/>
      <c r="G223" s="37"/>
      <c r="H223" s="37"/>
      <c r="I223" s="12"/>
      <c r="J223" s="37"/>
      <c r="K223" s="31" t="str">
        <f aca="false">IF(J223="","",IFERROR(INDEX(Reference_Data!$T$5:$T$14,MATCH(J223,Reference_Data!$S$5:$S$14,0)),0))</f>
        <v/>
      </c>
      <c r="L223" s="38"/>
      <c r="M223" s="38"/>
      <c r="N223" s="38"/>
      <c r="O223" s="37"/>
      <c r="P223" s="37"/>
      <c r="Q223" s="37"/>
      <c r="R223" s="38"/>
      <c r="S223" s="37"/>
      <c r="T223" s="31" t="n">
        <f aca="false">IF(OR(K223="",N223="",S223="Voided / Rescinded"),0,K223)</f>
        <v>0</v>
      </c>
      <c r="U223" s="12"/>
    </row>
    <row r="224" customFormat="false" ht="15" hidden="false" customHeight="false" outlineLevel="0" collapsed="false">
      <c r="A224" s="37"/>
      <c r="B224" s="38"/>
      <c r="C224" s="37"/>
      <c r="D224" s="31" t="str">
        <f aca="false">IF($C224="","",IFERROR(INDEX(Employee_Master!$B$5:$B$104,MATCH($C224,Employee_Master!$A$5:$A$104,0)),"ID not found"))</f>
        <v/>
      </c>
      <c r="E224" s="31" t="str">
        <f aca="false">IF($C224="","",IFERROR(INDEX(Employee_Master!$C$5:$C$104,MATCH($C224,Employee_Master!$A$5:$A$104,0)),"ID not found"))</f>
        <v/>
      </c>
      <c r="F224" s="37"/>
      <c r="G224" s="37"/>
      <c r="H224" s="37"/>
      <c r="I224" s="12"/>
      <c r="J224" s="37"/>
      <c r="K224" s="31" t="str">
        <f aca="false">IF(J224="","",IFERROR(INDEX(Reference_Data!$T$5:$T$14,MATCH(J224,Reference_Data!$S$5:$S$14,0)),0))</f>
        <v/>
      </c>
      <c r="L224" s="38"/>
      <c r="M224" s="38"/>
      <c r="N224" s="38"/>
      <c r="O224" s="37"/>
      <c r="P224" s="37"/>
      <c r="Q224" s="37"/>
      <c r="R224" s="38"/>
      <c r="S224" s="37"/>
      <c r="T224" s="31" t="n">
        <f aca="false">IF(OR(K224="",N224="",S224="Voided / Rescinded"),0,K224)</f>
        <v>0</v>
      </c>
      <c r="U224" s="12"/>
    </row>
    <row r="225" customFormat="false" ht="15" hidden="false" customHeight="false" outlineLevel="0" collapsed="false">
      <c r="A225" s="37"/>
      <c r="B225" s="38"/>
      <c r="C225" s="37"/>
      <c r="D225" s="31" t="str">
        <f aca="false">IF($C225="","",IFERROR(INDEX(Employee_Master!$B$5:$B$104,MATCH($C225,Employee_Master!$A$5:$A$104,0)),"ID not found"))</f>
        <v/>
      </c>
      <c r="E225" s="31" t="str">
        <f aca="false">IF($C225="","",IFERROR(INDEX(Employee_Master!$C$5:$C$104,MATCH($C225,Employee_Master!$A$5:$A$104,0)),"ID not found"))</f>
        <v/>
      </c>
      <c r="F225" s="37"/>
      <c r="G225" s="37"/>
      <c r="H225" s="37"/>
      <c r="I225" s="12"/>
      <c r="J225" s="37"/>
      <c r="K225" s="31" t="str">
        <f aca="false">IF(J225="","",IFERROR(INDEX(Reference_Data!$T$5:$T$14,MATCH(J225,Reference_Data!$S$5:$S$14,0)),0))</f>
        <v/>
      </c>
      <c r="L225" s="38"/>
      <c r="M225" s="38"/>
      <c r="N225" s="38"/>
      <c r="O225" s="37"/>
      <c r="P225" s="37"/>
      <c r="Q225" s="37"/>
      <c r="R225" s="38"/>
      <c r="S225" s="37"/>
      <c r="T225" s="31" t="n">
        <f aca="false">IF(OR(K225="",N225="",S225="Voided / Rescinded"),0,K225)</f>
        <v>0</v>
      </c>
      <c r="U225" s="12"/>
    </row>
    <row r="226" customFormat="false" ht="15" hidden="false" customHeight="false" outlineLevel="0" collapsed="false">
      <c r="A226" s="37"/>
      <c r="B226" s="38"/>
      <c r="C226" s="37"/>
      <c r="D226" s="31" t="str">
        <f aca="false">IF($C226="","",IFERROR(INDEX(Employee_Master!$B$5:$B$104,MATCH($C226,Employee_Master!$A$5:$A$104,0)),"ID not found"))</f>
        <v/>
      </c>
      <c r="E226" s="31" t="str">
        <f aca="false">IF($C226="","",IFERROR(INDEX(Employee_Master!$C$5:$C$104,MATCH($C226,Employee_Master!$A$5:$A$104,0)),"ID not found"))</f>
        <v/>
      </c>
      <c r="F226" s="37"/>
      <c r="G226" s="37"/>
      <c r="H226" s="37"/>
      <c r="I226" s="12"/>
      <c r="J226" s="37"/>
      <c r="K226" s="31" t="str">
        <f aca="false">IF(J226="","",IFERROR(INDEX(Reference_Data!$T$5:$T$14,MATCH(J226,Reference_Data!$S$5:$S$14,0)),0))</f>
        <v/>
      </c>
      <c r="L226" s="38"/>
      <c r="M226" s="38"/>
      <c r="N226" s="38"/>
      <c r="O226" s="37"/>
      <c r="P226" s="37"/>
      <c r="Q226" s="37"/>
      <c r="R226" s="38"/>
      <c r="S226" s="37"/>
      <c r="T226" s="31" t="n">
        <f aca="false">IF(OR(K226="",N226="",S226="Voided / Rescinded"),0,K226)</f>
        <v>0</v>
      </c>
      <c r="U226" s="12"/>
    </row>
    <row r="227" customFormat="false" ht="15" hidden="false" customHeight="false" outlineLevel="0" collapsed="false">
      <c r="A227" s="37"/>
      <c r="B227" s="38"/>
      <c r="C227" s="37"/>
      <c r="D227" s="31" t="str">
        <f aca="false">IF($C227="","",IFERROR(INDEX(Employee_Master!$B$5:$B$104,MATCH($C227,Employee_Master!$A$5:$A$104,0)),"ID not found"))</f>
        <v/>
      </c>
      <c r="E227" s="31" t="str">
        <f aca="false">IF($C227="","",IFERROR(INDEX(Employee_Master!$C$5:$C$104,MATCH($C227,Employee_Master!$A$5:$A$104,0)),"ID not found"))</f>
        <v/>
      </c>
      <c r="F227" s="37"/>
      <c r="G227" s="37"/>
      <c r="H227" s="37"/>
      <c r="I227" s="12"/>
      <c r="J227" s="37"/>
      <c r="K227" s="31" t="str">
        <f aca="false">IF(J227="","",IFERROR(INDEX(Reference_Data!$T$5:$T$14,MATCH(J227,Reference_Data!$S$5:$S$14,0)),0))</f>
        <v/>
      </c>
      <c r="L227" s="38"/>
      <c r="M227" s="38"/>
      <c r="N227" s="38"/>
      <c r="O227" s="37"/>
      <c r="P227" s="37"/>
      <c r="Q227" s="37"/>
      <c r="R227" s="38"/>
      <c r="S227" s="37"/>
      <c r="T227" s="31" t="n">
        <f aca="false">IF(OR(K227="",N227="",S227="Voided / Rescinded"),0,K227)</f>
        <v>0</v>
      </c>
      <c r="U227" s="12"/>
    </row>
    <row r="228" customFormat="false" ht="15" hidden="false" customHeight="false" outlineLevel="0" collapsed="false">
      <c r="A228" s="37"/>
      <c r="B228" s="38"/>
      <c r="C228" s="37"/>
      <c r="D228" s="31" t="str">
        <f aca="false">IF($C228="","",IFERROR(INDEX(Employee_Master!$B$5:$B$104,MATCH($C228,Employee_Master!$A$5:$A$104,0)),"ID not found"))</f>
        <v/>
      </c>
      <c r="E228" s="31" t="str">
        <f aca="false">IF($C228="","",IFERROR(INDEX(Employee_Master!$C$5:$C$104,MATCH($C228,Employee_Master!$A$5:$A$104,0)),"ID not found"))</f>
        <v/>
      </c>
      <c r="F228" s="37"/>
      <c r="G228" s="37"/>
      <c r="H228" s="37"/>
      <c r="I228" s="12"/>
      <c r="J228" s="37"/>
      <c r="K228" s="31" t="str">
        <f aca="false">IF(J228="","",IFERROR(INDEX(Reference_Data!$T$5:$T$14,MATCH(J228,Reference_Data!$S$5:$S$14,0)),0))</f>
        <v/>
      </c>
      <c r="L228" s="38"/>
      <c r="M228" s="38"/>
      <c r="N228" s="38"/>
      <c r="O228" s="37"/>
      <c r="P228" s="37"/>
      <c r="Q228" s="37"/>
      <c r="R228" s="38"/>
      <c r="S228" s="37"/>
      <c r="T228" s="31" t="n">
        <f aca="false">IF(OR(K228="",N228="",S228="Voided / Rescinded"),0,K228)</f>
        <v>0</v>
      </c>
      <c r="U228" s="12"/>
    </row>
    <row r="229" customFormat="false" ht="15" hidden="false" customHeight="false" outlineLevel="0" collapsed="false">
      <c r="A229" s="37"/>
      <c r="B229" s="38"/>
      <c r="C229" s="37"/>
      <c r="D229" s="31" t="str">
        <f aca="false">IF($C229="","",IFERROR(INDEX(Employee_Master!$B$5:$B$104,MATCH($C229,Employee_Master!$A$5:$A$104,0)),"ID not found"))</f>
        <v/>
      </c>
      <c r="E229" s="31" t="str">
        <f aca="false">IF($C229="","",IFERROR(INDEX(Employee_Master!$C$5:$C$104,MATCH($C229,Employee_Master!$A$5:$A$104,0)),"ID not found"))</f>
        <v/>
      </c>
      <c r="F229" s="37"/>
      <c r="G229" s="37"/>
      <c r="H229" s="37"/>
      <c r="I229" s="12"/>
      <c r="J229" s="37"/>
      <c r="K229" s="31" t="str">
        <f aca="false">IF(J229="","",IFERROR(INDEX(Reference_Data!$T$5:$T$14,MATCH(J229,Reference_Data!$S$5:$S$14,0)),0))</f>
        <v/>
      </c>
      <c r="L229" s="38"/>
      <c r="M229" s="38"/>
      <c r="N229" s="38"/>
      <c r="O229" s="37"/>
      <c r="P229" s="37"/>
      <c r="Q229" s="37"/>
      <c r="R229" s="38"/>
      <c r="S229" s="37"/>
      <c r="T229" s="31" t="n">
        <f aca="false">IF(OR(K229="",N229="",S229="Voided / Rescinded"),0,K229)</f>
        <v>0</v>
      </c>
      <c r="U229" s="12"/>
    </row>
    <row r="230" customFormat="false" ht="15" hidden="false" customHeight="false" outlineLevel="0" collapsed="false">
      <c r="A230" s="37"/>
      <c r="B230" s="38"/>
      <c r="C230" s="37"/>
      <c r="D230" s="31" t="str">
        <f aca="false">IF($C230="","",IFERROR(INDEX(Employee_Master!$B$5:$B$104,MATCH($C230,Employee_Master!$A$5:$A$104,0)),"ID not found"))</f>
        <v/>
      </c>
      <c r="E230" s="31" t="str">
        <f aca="false">IF($C230="","",IFERROR(INDEX(Employee_Master!$C$5:$C$104,MATCH($C230,Employee_Master!$A$5:$A$104,0)),"ID not found"))</f>
        <v/>
      </c>
      <c r="F230" s="37"/>
      <c r="G230" s="37"/>
      <c r="H230" s="37"/>
      <c r="I230" s="12"/>
      <c r="J230" s="37"/>
      <c r="K230" s="31" t="str">
        <f aca="false">IF(J230="","",IFERROR(INDEX(Reference_Data!$T$5:$T$14,MATCH(J230,Reference_Data!$S$5:$S$14,0)),0))</f>
        <v/>
      </c>
      <c r="L230" s="38"/>
      <c r="M230" s="38"/>
      <c r="N230" s="38"/>
      <c r="O230" s="37"/>
      <c r="P230" s="37"/>
      <c r="Q230" s="37"/>
      <c r="R230" s="38"/>
      <c r="S230" s="37"/>
      <c r="T230" s="31" t="n">
        <f aca="false">IF(OR(K230="",N230="",S230="Voided / Rescinded"),0,K230)</f>
        <v>0</v>
      </c>
      <c r="U230" s="12"/>
    </row>
    <row r="231" customFormat="false" ht="15" hidden="false" customHeight="false" outlineLevel="0" collapsed="false">
      <c r="A231" s="37"/>
      <c r="B231" s="38"/>
      <c r="C231" s="37"/>
      <c r="D231" s="31" t="str">
        <f aca="false">IF($C231="","",IFERROR(INDEX(Employee_Master!$B$5:$B$104,MATCH($C231,Employee_Master!$A$5:$A$104,0)),"ID not found"))</f>
        <v/>
      </c>
      <c r="E231" s="31" t="str">
        <f aca="false">IF($C231="","",IFERROR(INDEX(Employee_Master!$C$5:$C$104,MATCH($C231,Employee_Master!$A$5:$A$104,0)),"ID not found"))</f>
        <v/>
      </c>
      <c r="F231" s="37"/>
      <c r="G231" s="37"/>
      <c r="H231" s="37"/>
      <c r="I231" s="12"/>
      <c r="J231" s="37"/>
      <c r="K231" s="31" t="str">
        <f aca="false">IF(J231="","",IFERROR(INDEX(Reference_Data!$T$5:$T$14,MATCH(J231,Reference_Data!$S$5:$S$14,0)),0))</f>
        <v/>
      </c>
      <c r="L231" s="38"/>
      <c r="M231" s="38"/>
      <c r="N231" s="38"/>
      <c r="O231" s="37"/>
      <c r="P231" s="37"/>
      <c r="Q231" s="37"/>
      <c r="R231" s="38"/>
      <c r="S231" s="37"/>
      <c r="T231" s="31" t="n">
        <f aca="false">IF(OR(K231="",N231="",S231="Voided / Rescinded"),0,K231)</f>
        <v>0</v>
      </c>
      <c r="U231" s="12"/>
    </row>
    <row r="232" customFormat="false" ht="15" hidden="false" customHeight="false" outlineLevel="0" collapsed="false">
      <c r="A232" s="37"/>
      <c r="B232" s="38"/>
      <c r="C232" s="37"/>
      <c r="D232" s="31" t="str">
        <f aca="false">IF($C232="","",IFERROR(INDEX(Employee_Master!$B$5:$B$104,MATCH($C232,Employee_Master!$A$5:$A$104,0)),"ID not found"))</f>
        <v/>
      </c>
      <c r="E232" s="31" t="str">
        <f aca="false">IF($C232="","",IFERROR(INDEX(Employee_Master!$C$5:$C$104,MATCH($C232,Employee_Master!$A$5:$A$104,0)),"ID not found"))</f>
        <v/>
      </c>
      <c r="F232" s="37"/>
      <c r="G232" s="37"/>
      <c r="H232" s="37"/>
      <c r="I232" s="12"/>
      <c r="J232" s="37"/>
      <c r="K232" s="31" t="str">
        <f aca="false">IF(J232="","",IFERROR(INDEX(Reference_Data!$T$5:$T$14,MATCH(J232,Reference_Data!$S$5:$S$14,0)),0))</f>
        <v/>
      </c>
      <c r="L232" s="38"/>
      <c r="M232" s="38"/>
      <c r="N232" s="38"/>
      <c r="O232" s="37"/>
      <c r="P232" s="37"/>
      <c r="Q232" s="37"/>
      <c r="R232" s="38"/>
      <c r="S232" s="37"/>
      <c r="T232" s="31" t="n">
        <f aca="false">IF(OR(K232="",N232="",S232="Voided / Rescinded"),0,K232)</f>
        <v>0</v>
      </c>
      <c r="U232" s="12"/>
    </row>
    <row r="233" customFormat="false" ht="15" hidden="false" customHeight="false" outlineLevel="0" collapsed="false">
      <c r="A233" s="37"/>
      <c r="B233" s="38"/>
      <c r="C233" s="37"/>
      <c r="D233" s="31" t="str">
        <f aca="false">IF($C233="","",IFERROR(INDEX(Employee_Master!$B$5:$B$104,MATCH($C233,Employee_Master!$A$5:$A$104,0)),"ID not found"))</f>
        <v/>
      </c>
      <c r="E233" s="31" t="str">
        <f aca="false">IF($C233="","",IFERROR(INDEX(Employee_Master!$C$5:$C$104,MATCH($C233,Employee_Master!$A$5:$A$104,0)),"ID not found"))</f>
        <v/>
      </c>
      <c r="F233" s="37"/>
      <c r="G233" s="37"/>
      <c r="H233" s="37"/>
      <c r="I233" s="12"/>
      <c r="J233" s="37"/>
      <c r="K233" s="31" t="str">
        <f aca="false">IF(J233="","",IFERROR(INDEX(Reference_Data!$T$5:$T$14,MATCH(J233,Reference_Data!$S$5:$S$14,0)),0))</f>
        <v/>
      </c>
      <c r="L233" s="38"/>
      <c r="M233" s="38"/>
      <c r="N233" s="38"/>
      <c r="O233" s="37"/>
      <c r="P233" s="37"/>
      <c r="Q233" s="37"/>
      <c r="R233" s="38"/>
      <c r="S233" s="37"/>
      <c r="T233" s="31" t="n">
        <f aca="false">IF(OR(K233="",N233="",S233="Voided / Rescinded"),0,K233)</f>
        <v>0</v>
      </c>
      <c r="U233" s="12"/>
    </row>
    <row r="234" customFormat="false" ht="15" hidden="false" customHeight="false" outlineLevel="0" collapsed="false">
      <c r="A234" s="37"/>
      <c r="B234" s="38"/>
      <c r="C234" s="37"/>
      <c r="D234" s="31" t="str">
        <f aca="false">IF($C234="","",IFERROR(INDEX(Employee_Master!$B$5:$B$104,MATCH($C234,Employee_Master!$A$5:$A$104,0)),"ID not found"))</f>
        <v/>
      </c>
      <c r="E234" s="31" t="str">
        <f aca="false">IF($C234="","",IFERROR(INDEX(Employee_Master!$C$5:$C$104,MATCH($C234,Employee_Master!$A$5:$A$104,0)),"ID not found"))</f>
        <v/>
      </c>
      <c r="F234" s="37"/>
      <c r="G234" s="37"/>
      <c r="H234" s="37"/>
      <c r="I234" s="12"/>
      <c r="J234" s="37"/>
      <c r="K234" s="31" t="str">
        <f aca="false">IF(J234="","",IFERROR(INDEX(Reference_Data!$T$5:$T$14,MATCH(J234,Reference_Data!$S$5:$S$14,0)),0))</f>
        <v/>
      </c>
      <c r="L234" s="38"/>
      <c r="M234" s="38"/>
      <c r="N234" s="38"/>
      <c r="O234" s="37"/>
      <c r="P234" s="37"/>
      <c r="Q234" s="37"/>
      <c r="R234" s="38"/>
      <c r="S234" s="37"/>
      <c r="T234" s="31" t="n">
        <f aca="false">IF(OR(K234="",N234="",S234="Voided / Rescinded"),0,K234)</f>
        <v>0</v>
      </c>
      <c r="U234" s="12"/>
    </row>
    <row r="235" customFormat="false" ht="15" hidden="false" customHeight="false" outlineLevel="0" collapsed="false">
      <c r="A235" s="37"/>
      <c r="B235" s="38"/>
      <c r="C235" s="37"/>
      <c r="D235" s="31" t="str">
        <f aca="false">IF($C235="","",IFERROR(INDEX(Employee_Master!$B$5:$B$104,MATCH($C235,Employee_Master!$A$5:$A$104,0)),"ID not found"))</f>
        <v/>
      </c>
      <c r="E235" s="31" t="str">
        <f aca="false">IF($C235="","",IFERROR(INDEX(Employee_Master!$C$5:$C$104,MATCH($C235,Employee_Master!$A$5:$A$104,0)),"ID not found"))</f>
        <v/>
      </c>
      <c r="F235" s="37"/>
      <c r="G235" s="37"/>
      <c r="H235" s="37"/>
      <c r="I235" s="12"/>
      <c r="J235" s="37"/>
      <c r="K235" s="31" t="str">
        <f aca="false">IF(J235="","",IFERROR(INDEX(Reference_Data!$T$5:$T$14,MATCH(J235,Reference_Data!$S$5:$S$14,0)),0))</f>
        <v/>
      </c>
      <c r="L235" s="38"/>
      <c r="M235" s="38"/>
      <c r="N235" s="38"/>
      <c r="O235" s="37"/>
      <c r="P235" s="37"/>
      <c r="Q235" s="37"/>
      <c r="R235" s="38"/>
      <c r="S235" s="37"/>
      <c r="T235" s="31" t="n">
        <f aca="false">IF(OR(K235="",N235="",S235="Voided / Rescinded"),0,K235)</f>
        <v>0</v>
      </c>
      <c r="U235" s="12"/>
    </row>
    <row r="236" customFormat="false" ht="15" hidden="false" customHeight="false" outlineLevel="0" collapsed="false">
      <c r="A236" s="37"/>
      <c r="B236" s="38"/>
      <c r="C236" s="37"/>
      <c r="D236" s="31" t="str">
        <f aca="false">IF($C236="","",IFERROR(INDEX(Employee_Master!$B$5:$B$104,MATCH($C236,Employee_Master!$A$5:$A$104,0)),"ID not found"))</f>
        <v/>
      </c>
      <c r="E236" s="31" t="str">
        <f aca="false">IF($C236="","",IFERROR(INDEX(Employee_Master!$C$5:$C$104,MATCH($C236,Employee_Master!$A$5:$A$104,0)),"ID not found"))</f>
        <v/>
      </c>
      <c r="F236" s="37"/>
      <c r="G236" s="37"/>
      <c r="H236" s="37"/>
      <c r="I236" s="12"/>
      <c r="J236" s="37"/>
      <c r="K236" s="31" t="str">
        <f aca="false">IF(J236="","",IFERROR(INDEX(Reference_Data!$T$5:$T$14,MATCH(J236,Reference_Data!$S$5:$S$14,0)),0))</f>
        <v/>
      </c>
      <c r="L236" s="38"/>
      <c r="M236" s="38"/>
      <c r="N236" s="38"/>
      <c r="O236" s="37"/>
      <c r="P236" s="37"/>
      <c r="Q236" s="37"/>
      <c r="R236" s="38"/>
      <c r="S236" s="37"/>
      <c r="T236" s="31" t="n">
        <f aca="false">IF(OR(K236="",N236="",S236="Voided / Rescinded"),0,K236)</f>
        <v>0</v>
      </c>
      <c r="U236" s="12"/>
    </row>
    <row r="237" customFormat="false" ht="15" hidden="false" customHeight="false" outlineLevel="0" collapsed="false">
      <c r="A237" s="37"/>
      <c r="B237" s="38"/>
      <c r="C237" s="37"/>
      <c r="D237" s="31" t="str">
        <f aca="false">IF($C237="","",IFERROR(INDEX(Employee_Master!$B$5:$B$104,MATCH($C237,Employee_Master!$A$5:$A$104,0)),"ID not found"))</f>
        <v/>
      </c>
      <c r="E237" s="31" t="str">
        <f aca="false">IF($C237="","",IFERROR(INDEX(Employee_Master!$C$5:$C$104,MATCH($C237,Employee_Master!$A$5:$A$104,0)),"ID not found"))</f>
        <v/>
      </c>
      <c r="F237" s="37"/>
      <c r="G237" s="37"/>
      <c r="H237" s="37"/>
      <c r="I237" s="12"/>
      <c r="J237" s="37"/>
      <c r="K237" s="31" t="str">
        <f aca="false">IF(J237="","",IFERROR(INDEX(Reference_Data!$T$5:$T$14,MATCH(J237,Reference_Data!$S$5:$S$14,0)),0))</f>
        <v/>
      </c>
      <c r="L237" s="38"/>
      <c r="M237" s="38"/>
      <c r="N237" s="38"/>
      <c r="O237" s="37"/>
      <c r="P237" s="37"/>
      <c r="Q237" s="37"/>
      <c r="R237" s="38"/>
      <c r="S237" s="37"/>
      <c r="T237" s="31" t="n">
        <f aca="false">IF(OR(K237="",N237="",S237="Voided / Rescinded"),0,K237)</f>
        <v>0</v>
      </c>
      <c r="U237" s="12"/>
    </row>
    <row r="238" customFormat="false" ht="15" hidden="false" customHeight="false" outlineLevel="0" collapsed="false">
      <c r="A238" s="37"/>
      <c r="B238" s="38"/>
      <c r="C238" s="37"/>
      <c r="D238" s="31" t="str">
        <f aca="false">IF($C238="","",IFERROR(INDEX(Employee_Master!$B$5:$B$104,MATCH($C238,Employee_Master!$A$5:$A$104,0)),"ID not found"))</f>
        <v/>
      </c>
      <c r="E238" s="31" t="str">
        <f aca="false">IF($C238="","",IFERROR(INDEX(Employee_Master!$C$5:$C$104,MATCH($C238,Employee_Master!$A$5:$A$104,0)),"ID not found"))</f>
        <v/>
      </c>
      <c r="F238" s="37"/>
      <c r="G238" s="37"/>
      <c r="H238" s="37"/>
      <c r="I238" s="12"/>
      <c r="J238" s="37"/>
      <c r="K238" s="31" t="str">
        <f aca="false">IF(J238="","",IFERROR(INDEX(Reference_Data!$T$5:$T$14,MATCH(J238,Reference_Data!$S$5:$S$14,0)),0))</f>
        <v/>
      </c>
      <c r="L238" s="38"/>
      <c r="M238" s="38"/>
      <c r="N238" s="38"/>
      <c r="O238" s="37"/>
      <c r="P238" s="37"/>
      <c r="Q238" s="37"/>
      <c r="R238" s="38"/>
      <c r="S238" s="37"/>
      <c r="T238" s="31" t="n">
        <f aca="false">IF(OR(K238="",N238="",S238="Voided / Rescinded"),0,K238)</f>
        <v>0</v>
      </c>
      <c r="U238" s="12"/>
    </row>
    <row r="239" customFormat="false" ht="15" hidden="false" customHeight="false" outlineLevel="0" collapsed="false">
      <c r="A239" s="37"/>
      <c r="B239" s="38"/>
      <c r="C239" s="37"/>
      <c r="D239" s="31" t="str">
        <f aca="false">IF($C239="","",IFERROR(INDEX(Employee_Master!$B$5:$B$104,MATCH($C239,Employee_Master!$A$5:$A$104,0)),"ID not found"))</f>
        <v/>
      </c>
      <c r="E239" s="31" t="str">
        <f aca="false">IF($C239="","",IFERROR(INDEX(Employee_Master!$C$5:$C$104,MATCH($C239,Employee_Master!$A$5:$A$104,0)),"ID not found"))</f>
        <v/>
      </c>
      <c r="F239" s="37"/>
      <c r="G239" s="37"/>
      <c r="H239" s="37"/>
      <c r="I239" s="12"/>
      <c r="J239" s="37"/>
      <c r="K239" s="31" t="str">
        <f aca="false">IF(J239="","",IFERROR(INDEX(Reference_Data!$T$5:$T$14,MATCH(J239,Reference_Data!$S$5:$S$14,0)),0))</f>
        <v/>
      </c>
      <c r="L239" s="38"/>
      <c r="M239" s="38"/>
      <c r="N239" s="38"/>
      <c r="O239" s="37"/>
      <c r="P239" s="37"/>
      <c r="Q239" s="37"/>
      <c r="R239" s="38"/>
      <c r="S239" s="37"/>
      <c r="T239" s="31" t="n">
        <f aca="false">IF(OR(K239="",N239="",S239="Voided / Rescinded"),0,K239)</f>
        <v>0</v>
      </c>
      <c r="U239" s="12"/>
    </row>
    <row r="240" customFormat="false" ht="15" hidden="false" customHeight="false" outlineLevel="0" collapsed="false">
      <c r="A240" s="37"/>
      <c r="B240" s="38"/>
      <c r="C240" s="37"/>
      <c r="D240" s="31" t="str">
        <f aca="false">IF($C240="","",IFERROR(INDEX(Employee_Master!$B$5:$B$104,MATCH($C240,Employee_Master!$A$5:$A$104,0)),"ID not found"))</f>
        <v/>
      </c>
      <c r="E240" s="31" t="str">
        <f aca="false">IF($C240="","",IFERROR(INDEX(Employee_Master!$C$5:$C$104,MATCH($C240,Employee_Master!$A$5:$A$104,0)),"ID not found"))</f>
        <v/>
      </c>
      <c r="F240" s="37"/>
      <c r="G240" s="37"/>
      <c r="H240" s="37"/>
      <c r="I240" s="12"/>
      <c r="J240" s="37"/>
      <c r="K240" s="31" t="str">
        <f aca="false">IF(J240="","",IFERROR(INDEX(Reference_Data!$T$5:$T$14,MATCH(J240,Reference_Data!$S$5:$S$14,0)),0))</f>
        <v/>
      </c>
      <c r="L240" s="38"/>
      <c r="M240" s="38"/>
      <c r="N240" s="38"/>
      <c r="O240" s="37"/>
      <c r="P240" s="37"/>
      <c r="Q240" s="37"/>
      <c r="R240" s="38"/>
      <c r="S240" s="37"/>
      <c r="T240" s="31" t="n">
        <f aca="false">IF(OR(K240="",N240="",S240="Voided / Rescinded"),0,K240)</f>
        <v>0</v>
      </c>
      <c r="U240" s="12"/>
    </row>
    <row r="241" customFormat="false" ht="15" hidden="false" customHeight="false" outlineLevel="0" collapsed="false">
      <c r="A241" s="37"/>
      <c r="B241" s="38"/>
      <c r="C241" s="37"/>
      <c r="D241" s="31" t="str">
        <f aca="false">IF($C241="","",IFERROR(INDEX(Employee_Master!$B$5:$B$104,MATCH($C241,Employee_Master!$A$5:$A$104,0)),"ID not found"))</f>
        <v/>
      </c>
      <c r="E241" s="31" t="str">
        <f aca="false">IF($C241="","",IFERROR(INDEX(Employee_Master!$C$5:$C$104,MATCH($C241,Employee_Master!$A$5:$A$104,0)),"ID not found"))</f>
        <v/>
      </c>
      <c r="F241" s="37"/>
      <c r="G241" s="37"/>
      <c r="H241" s="37"/>
      <c r="I241" s="12"/>
      <c r="J241" s="37"/>
      <c r="K241" s="31" t="str">
        <f aca="false">IF(J241="","",IFERROR(INDEX(Reference_Data!$T$5:$T$14,MATCH(J241,Reference_Data!$S$5:$S$14,0)),0))</f>
        <v/>
      </c>
      <c r="L241" s="38"/>
      <c r="M241" s="38"/>
      <c r="N241" s="38"/>
      <c r="O241" s="37"/>
      <c r="P241" s="37"/>
      <c r="Q241" s="37"/>
      <c r="R241" s="38"/>
      <c r="S241" s="37"/>
      <c r="T241" s="31" t="n">
        <f aca="false">IF(OR(K241="",N241="",S241="Voided / Rescinded"),0,K241)</f>
        <v>0</v>
      </c>
      <c r="U241" s="12"/>
    </row>
    <row r="242" customFormat="false" ht="15" hidden="false" customHeight="false" outlineLevel="0" collapsed="false">
      <c r="A242" s="37"/>
      <c r="B242" s="38"/>
      <c r="C242" s="37"/>
      <c r="D242" s="31" t="str">
        <f aca="false">IF($C242="","",IFERROR(INDEX(Employee_Master!$B$5:$B$104,MATCH($C242,Employee_Master!$A$5:$A$104,0)),"ID not found"))</f>
        <v/>
      </c>
      <c r="E242" s="31" t="str">
        <f aca="false">IF($C242="","",IFERROR(INDEX(Employee_Master!$C$5:$C$104,MATCH($C242,Employee_Master!$A$5:$A$104,0)),"ID not found"))</f>
        <v/>
      </c>
      <c r="F242" s="37"/>
      <c r="G242" s="37"/>
      <c r="H242" s="37"/>
      <c r="I242" s="12"/>
      <c r="J242" s="37"/>
      <c r="K242" s="31" t="str">
        <f aca="false">IF(J242="","",IFERROR(INDEX(Reference_Data!$T$5:$T$14,MATCH(J242,Reference_Data!$S$5:$S$14,0)),0))</f>
        <v/>
      </c>
      <c r="L242" s="38"/>
      <c r="M242" s="38"/>
      <c r="N242" s="38"/>
      <c r="O242" s="37"/>
      <c r="P242" s="37"/>
      <c r="Q242" s="37"/>
      <c r="R242" s="38"/>
      <c r="S242" s="37"/>
      <c r="T242" s="31" t="n">
        <f aca="false">IF(OR(K242="",N242="",S242="Voided / Rescinded"),0,K242)</f>
        <v>0</v>
      </c>
      <c r="U242" s="12"/>
    </row>
    <row r="243" customFormat="false" ht="15" hidden="false" customHeight="false" outlineLevel="0" collapsed="false">
      <c r="A243" s="37"/>
      <c r="B243" s="38"/>
      <c r="C243" s="37"/>
      <c r="D243" s="31" t="str">
        <f aca="false">IF($C243="","",IFERROR(INDEX(Employee_Master!$B$5:$B$104,MATCH($C243,Employee_Master!$A$5:$A$104,0)),"ID not found"))</f>
        <v/>
      </c>
      <c r="E243" s="31" t="str">
        <f aca="false">IF($C243="","",IFERROR(INDEX(Employee_Master!$C$5:$C$104,MATCH($C243,Employee_Master!$A$5:$A$104,0)),"ID not found"))</f>
        <v/>
      </c>
      <c r="F243" s="37"/>
      <c r="G243" s="37"/>
      <c r="H243" s="37"/>
      <c r="I243" s="12"/>
      <c r="J243" s="37"/>
      <c r="K243" s="31" t="str">
        <f aca="false">IF(J243="","",IFERROR(INDEX(Reference_Data!$T$5:$T$14,MATCH(J243,Reference_Data!$S$5:$S$14,0)),0))</f>
        <v/>
      </c>
      <c r="L243" s="38"/>
      <c r="M243" s="38"/>
      <c r="N243" s="38"/>
      <c r="O243" s="37"/>
      <c r="P243" s="37"/>
      <c r="Q243" s="37"/>
      <c r="R243" s="38"/>
      <c r="S243" s="37"/>
      <c r="T243" s="31" t="n">
        <f aca="false">IF(OR(K243="",N243="",S243="Voided / Rescinded"),0,K243)</f>
        <v>0</v>
      </c>
      <c r="U243" s="12"/>
    </row>
    <row r="244" customFormat="false" ht="15" hidden="false" customHeight="false" outlineLevel="0" collapsed="false">
      <c r="A244" s="37"/>
      <c r="B244" s="38"/>
      <c r="C244" s="37"/>
      <c r="D244" s="31" t="str">
        <f aca="false">IF($C244="","",IFERROR(INDEX(Employee_Master!$B$5:$B$104,MATCH($C244,Employee_Master!$A$5:$A$104,0)),"ID not found"))</f>
        <v/>
      </c>
      <c r="E244" s="31" t="str">
        <f aca="false">IF($C244="","",IFERROR(INDEX(Employee_Master!$C$5:$C$104,MATCH($C244,Employee_Master!$A$5:$A$104,0)),"ID not found"))</f>
        <v/>
      </c>
      <c r="F244" s="37"/>
      <c r="G244" s="37"/>
      <c r="H244" s="37"/>
      <c r="I244" s="12"/>
      <c r="J244" s="37"/>
      <c r="K244" s="31" t="str">
        <f aca="false">IF(J244="","",IFERROR(INDEX(Reference_Data!$T$5:$T$14,MATCH(J244,Reference_Data!$S$5:$S$14,0)),0))</f>
        <v/>
      </c>
      <c r="L244" s="38"/>
      <c r="M244" s="38"/>
      <c r="N244" s="38"/>
      <c r="O244" s="37"/>
      <c r="P244" s="37"/>
      <c r="Q244" s="37"/>
      <c r="R244" s="38"/>
      <c r="S244" s="37"/>
      <c r="T244" s="31" t="n">
        <f aca="false">IF(OR(K244="",N244="",S244="Voided / Rescinded"),0,K244)</f>
        <v>0</v>
      </c>
      <c r="U244" s="12"/>
    </row>
    <row r="245" customFormat="false" ht="15" hidden="false" customHeight="false" outlineLevel="0" collapsed="false">
      <c r="A245" s="37"/>
      <c r="B245" s="38"/>
      <c r="C245" s="37"/>
      <c r="D245" s="31" t="str">
        <f aca="false">IF($C245="","",IFERROR(INDEX(Employee_Master!$B$5:$B$104,MATCH($C245,Employee_Master!$A$5:$A$104,0)),"ID not found"))</f>
        <v/>
      </c>
      <c r="E245" s="31" t="str">
        <f aca="false">IF($C245="","",IFERROR(INDEX(Employee_Master!$C$5:$C$104,MATCH($C245,Employee_Master!$A$5:$A$104,0)),"ID not found"))</f>
        <v/>
      </c>
      <c r="F245" s="37"/>
      <c r="G245" s="37"/>
      <c r="H245" s="37"/>
      <c r="I245" s="12"/>
      <c r="J245" s="37"/>
      <c r="K245" s="31" t="str">
        <f aca="false">IF(J245="","",IFERROR(INDEX(Reference_Data!$T$5:$T$14,MATCH(J245,Reference_Data!$S$5:$S$14,0)),0))</f>
        <v/>
      </c>
      <c r="L245" s="38"/>
      <c r="M245" s="38"/>
      <c r="N245" s="38"/>
      <c r="O245" s="37"/>
      <c r="P245" s="37"/>
      <c r="Q245" s="37"/>
      <c r="R245" s="38"/>
      <c r="S245" s="37"/>
      <c r="T245" s="31" t="n">
        <f aca="false">IF(OR(K245="",N245="",S245="Voided / Rescinded"),0,K245)</f>
        <v>0</v>
      </c>
      <c r="U245" s="12"/>
    </row>
    <row r="246" customFormat="false" ht="15" hidden="false" customHeight="false" outlineLevel="0" collapsed="false">
      <c r="A246" s="37"/>
      <c r="B246" s="38"/>
      <c r="C246" s="37"/>
      <c r="D246" s="31" t="str">
        <f aca="false">IF($C246="","",IFERROR(INDEX(Employee_Master!$B$5:$B$104,MATCH($C246,Employee_Master!$A$5:$A$104,0)),"ID not found"))</f>
        <v/>
      </c>
      <c r="E246" s="31" t="str">
        <f aca="false">IF($C246="","",IFERROR(INDEX(Employee_Master!$C$5:$C$104,MATCH($C246,Employee_Master!$A$5:$A$104,0)),"ID not found"))</f>
        <v/>
      </c>
      <c r="F246" s="37"/>
      <c r="G246" s="37"/>
      <c r="H246" s="37"/>
      <c r="I246" s="12"/>
      <c r="J246" s="37"/>
      <c r="K246" s="31" t="str">
        <f aca="false">IF(J246="","",IFERROR(INDEX(Reference_Data!$T$5:$T$14,MATCH(J246,Reference_Data!$S$5:$S$14,0)),0))</f>
        <v/>
      </c>
      <c r="L246" s="38"/>
      <c r="M246" s="38"/>
      <c r="N246" s="38"/>
      <c r="O246" s="37"/>
      <c r="P246" s="37"/>
      <c r="Q246" s="37"/>
      <c r="R246" s="38"/>
      <c r="S246" s="37"/>
      <c r="T246" s="31" t="n">
        <f aca="false">IF(OR(K246="",N246="",S246="Voided / Rescinded"),0,K246)</f>
        <v>0</v>
      </c>
      <c r="U246" s="12"/>
    </row>
    <row r="247" customFormat="false" ht="15" hidden="false" customHeight="false" outlineLevel="0" collapsed="false">
      <c r="A247" s="37"/>
      <c r="B247" s="38"/>
      <c r="C247" s="37"/>
      <c r="D247" s="31" t="str">
        <f aca="false">IF($C247="","",IFERROR(INDEX(Employee_Master!$B$5:$B$104,MATCH($C247,Employee_Master!$A$5:$A$104,0)),"ID not found"))</f>
        <v/>
      </c>
      <c r="E247" s="31" t="str">
        <f aca="false">IF($C247="","",IFERROR(INDEX(Employee_Master!$C$5:$C$104,MATCH($C247,Employee_Master!$A$5:$A$104,0)),"ID not found"))</f>
        <v/>
      </c>
      <c r="F247" s="37"/>
      <c r="G247" s="37"/>
      <c r="H247" s="37"/>
      <c r="I247" s="12"/>
      <c r="J247" s="37"/>
      <c r="K247" s="31" t="str">
        <f aca="false">IF(J247="","",IFERROR(INDEX(Reference_Data!$T$5:$T$14,MATCH(J247,Reference_Data!$S$5:$S$14,0)),0))</f>
        <v/>
      </c>
      <c r="L247" s="38"/>
      <c r="M247" s="38"/>
      <c r="N247" s="38"/>
      <c r="O247" s="37"/>
      <c r="P247" s="37"/>
      <c r="Q247" s="37"/>
      <c r="R247" s="38"/>
      <c r="S247" s="37"/>
      <c r="T247" s="31" t="n">
        <f aca="false">IF(OR(K247="",N247="",S247="Voided / Rescinded"),0,K247)</f>
        <v>0</v>
      </c>
      <c r="U247" s="12"/>
    </row>
    <row r="248" customFormat="false" ht="15" hidden="false" customHeight="false" outlineLevel="0" collapsed="false">
      <c r="A248" s="37"/>
      <c r="B248" s="38"/>
      <c r="C248" s="37"/>
      <c r="D248" s="31" t="str">
        <f aca="false">IF($C248="","",IFERROR(INDEX(Employee_Master!$B$5:$B$104,MATCH($C248,Employee_Master!$A$5:$A$104,0)),"ID not found"))</f>
        <v/>
      </c>
      <c r="E248" s="31" t="str">
        <f aca="false">IF($C248="","",IFERROR(INDEX(Employee_Master!$C$5:$C$104,MATCH($C248,Employee_Master!$A$5:$A$104,0)),"ID not found"))</f>
        <v/>
      </c>
      <c r="F248" s="37"/>
      <c r="G248" s="37"/>
      <c r="H248" s="37"/>
      <c r="I248" s="12"/>
      <c r="J248" s="37"/>
      <c r="K248" s="31" t="str">
        <f aca="false">IF(J248="","",IFERROR(INDEX(Reference_Data!$T$5:$T$14,MATCH(J248,Reference_Data!$S$5:$S$14,0)),0))</f>
        <v/>
      </c>
      <c r="L248" s="38"/>
      <c r="M248" s="38"/>
      <c r="N248" s="38"/>
      <c r="O248" s="37"/>
      <c r="P248" s="37"/>
      <c r="Q248" s="37"/>
      <c r="R248" s="38"/>
      <c r="S248" s="37"/>
      <c r="T248" s="31" t="n">
        <f aca="false">IF(OR(K248="",N248="",S248="Voided / Rescinded"),0,K248)</f>
        <v>0</v>
      </c>
      <c r="U248" s="12"/>
    </row>
    <row r="249" customFormat="false" ht="15" hidden="false" customHeight="false" outlineLevel="0" collapsed="false">
      <c r="A249" s="37"/>
      <c r="B249" s="38"/>
      <c r="C249" s="37"/>
      <c r="D249" s="31" t="str">
        <f aca="false">IF($C249="","",IFERROR(INDEX(Employee_Master!$B$5:$B$104,MATCH($C249,Employee_Master!$A$5:$A$104,0)),"ID not found"))</f>
        <v/>
      </c>
      <c r="E249" s="31" t="str">
        <f aca="false">IF($C249="","",IFERROR(INDEX(Employee_Master!$C$5:$C$104,MATCH($C249,Employee_Master!$A$5:$A$104,0)),"ID not found"))</f>
        <v/>
      </c>
      <c r="F249" s="37"/>
      <c r="G249" s="37"/>
      <c r="H249" s="37"/>
      <c r="I249" s="12"/>
      <c r="J249" s="37"/>
      <c r="K249" s="31" t="str">
        <f aca="false">IF(J249="","",IFERROR(INDEX(Reference_Data!$T$5:$T$14,MATCH(J249,Reference_Data!$S$5:$S$14,0)),0))</f>
        <v/>
      </c>
      <c r="L249" s="38"/>
      <c r="M249" s="38"/>
      <c r="N249" s="38"/>
      <c r="O249" s="37"/>
      <c r="P249" s="37"/>
      <c r="Q249" s="37"/>
      <c r="R249" s="38"/>
      <c r="S249" s="37"/>
      <c r="T249" s="31" t="n">
        <f aca="false">IF(OR(K249="",N249="",S249="Voided / Rescinded"),0,K249)</f>
        <v>0</v>
      </c>
      <c r="U249" s="12"/>
    </row>
    <row r="250" customFormat="false" ht="15" hidden="false" customHeight="false" outlineLevel="0" collapsed="false">
      <c r="A250" s="37"/>
      <c r="B250" s="38"/>
      <c r="C250" s="37"/>
      <c r="D250" s="31" t="str">
        <f aca="false">IF($C250="","",IFERROR(INDEX(Employee_Master!$B$5:$B$104,MATCH($C250,Employee_Master!$A$5:$A$104,0)),"ID not found"))</f>
        <v/>
      </c>
      <c r="E250" s="31" t="str">
        <f aca="false">IF($C250="","",IFERROR(INDEX(Employee_Master!$C$5:$C$104,MATCH($C250,Employee_Master!$A$5:$A$104,0)),"ID not found"))</f>
        <v/>
      </c>
      <c r="F250" s="37"/>
      <c r="G250" s="37"/>
      <c r="H250" s="37"/>
      <c r="I250" s="12"/>
      <c r="J250" s="37"/>
      <c r="K250" s="31" t="str">
        <f aca="false">IF(J250="","",IFERROR(INDEX(Reference_Data!$T$5:$T$14,MATCH(J250,Reference_Data!$S$5:$S$14,0)),0))</f>
        <v/>
      </c>
      <c r="L250" s="38"/>
      <c r="M250" s="38"/>
      <c r="N250" s="38"/>
      <c r="O250" s="37"/>
      <c r="P250" s="37"/>
      <c r="Q250" s="37"/>
      <c r="R250" s="38"/>
      <c r="S250" s="37"/>
      <c r="T250" s="31" t="n">
        <f aca="false">IF(OR(K250="",N250="",S250="Voided / Rescinded"),0,K250)</f>
        <v>0</v>
      </c>
      <c r="U250" s="12"/>
    </row>
    <row r="251" customFormat="false" ht="15" hidden="false" customHeight="false" outlineLevel="0" collapsed="false">
      <c r="A251" s="37"/>
      <c r="B251" s="38"/>
      <c r="C251" s="37"/>
      <c r="D251" s="31" t="str">
        <f aca="false">IF($C251="","",IFERROR(INDEX(Employee_Master!$B$5:$B$104,MATCH($C251,Employee_Master!$A$5:$A$104,0)),"ID not found"))</f>
        <v/>
      </c>
      <c r="E251" s="31" t="str">
        <f aca="false">IF($C251="","",IFERROR(INDEX(Employee_Master!$C$5:$C$104,MATCH($C251,Employee_Master!$A$5:$A$104,0)),"ID not found"))</f>
        <v/>
      </c>
      <c r="F251" s="37"/>
      <c r="G251" s="37"/>
      <c r="H251" s="37"/>
      <c r="I251" s="12"/>
      <c r="J251" s="37"/>
      <c r="K251" s="31" t="str">
        <f aca="false">IF(J251="","",IFERROR(INDEX(Reference_Data!$T$5:$T$14,MATCH(J251,Reference_Data!$S$5:$S$14,0)),0))</f>
        <v/>
      </c>
      <c r="L251" s="38"/>
      <c r="M251" s="38"/>
      <c r="N251" s="38"/>
      <c r="O251" s="37"/>
      <c r="P251" s="37"/>
      <c r="Q251" s="37"/>
      <c r="R251" s="38"/>
      <c r="S251" s="37"/>
      <c r="T251" s="31" t="n">
        <f aca="false">IF(OR(K251="",N251="",S251="Voided / Rescinded"),0,K251)</f>
        <v>0</v>
      </c>
      <c r="U251" s="12"/>
    </row>
    <row r="252" customFormat="false" ht="15" hidden="false" customHeight="false" outlineLevel="0" collapsed="false">
      <c r="A252" s="37"/>
      <c r="B252" s="38"/>
      <c r="C252" s="37"/>
      <c r="D252" s="31" t="str">
        <f aca="false">IF($C252="","",IFERROR(INDEX(Employee_Master!$B$5:$B$104,MATCH($C252,Employee_Master!$A$5:$A$104,0)),"ID not found"))</f>
        <v/>
      </c>
      <c r="E252" s="31" t="str">
        <f aca="false">IF($C252="","",IFERROR(INDEX(Employee_Master!$C$5:$C$104,MATCH($C252,Employee_Master!$A$5:$A$104,0)),"ID not found"))</f>
        <v/>
      </c>
      <c r="F252" s="37"/>
      <c r="G252" s="37"/>
      <c r="H252" s="37"/>
      <c r="I252" s="12"/>
      <c r="J252" s="37"/>
      <c r="K252" s="31" t="str">
        <f aca="false">IF(J252="","",IFERROR(INDEX(Reference_Data!$T$5:$T$14,MATCH(J252,Reference_Data!$S$5:$S$14,0)),0))</f>
        <v/>
      </c>
      <c r="L252" s="38"/>
      <c r="M252" s="38"/>
      <c r="N252" s="38"/>
      <c r="O252" s="37"/>
      <c r="P252" s="37"/>
      <c r="Q252" s="37"/>
      <c r="R252" s="38"/>
      <c r="S252" s="37"/>
      <c r="T252" s="31" t="n">
        <f aca="false">IF(OR(K252="",N252="",S252="Voided / Rescinded"),0,K252)</f>
        <v>0</v>
      </c>
      <c r="U252" s="12"/>
    </row>
    <row r="253" customFormat="false" ht="15" hidden="false" customHeight="false" outlineLevel="0" collapsed="false">
      <c r="A253" s="37"/>
      <c r="B253" s="38"/>
      <c r="C253" s="37"/>
      <c r="D253" s="31" t="str">
        <f aca="false">IF($C253="","",IFERROR(INDEX(Employee_Master!$B$5:$B$104,MATCH($C253,Employee_Master!$A$5:$A$104,0)),"ID not found"))</f>
        <v/>
      </c>
      <c r="E253" s="31" t="str">
        <f aca="false">IF($C253="","",IFERROR(INDEX(Employee_Master!$C$5:$C$104,MATCH($C253,Employee_Master!$A$5:$A$104,0)),"ID not found"))</f>
        <v/>
      </c>
      <c r="F253" s="37"/>
      <c r="G253" s="37"/>
      <c r="H253" s="37"/>
      <c r="I253" s="12"/>
      <c r="J253" s="37"/>
      <c r="K253" s="31" t="str">
        <f aca="false">IF(J253="","",IFERROR(INDEX(Reference_Data!$T$5:$T$14,MATCH(J253,Reference_Data!$S$5:$S$14,0)),0))</f>
        <v/>
      </c>
      <c r="L253" s="38"/>
      <c r="M253" s="38"/>
      <c r="N253" s="38"/>
      <c r="O253" s="37"/>
      <c r="P253" s="37"/>
      <c r="Q253" s="37"/>
      <c r="R253" s="38"/>
      <c r="S253" s="37"/>
      <c r="T253" s="31" t="n">
        <f aca="false">IF(OR(K253="",N253="",S253="Voided / Rescinded"),0,K253)</f>
        <v>0</v>
      </c>
      <c r="U253" s="12"/>
    </row>
    <row r="254" customFormat="false" ht="15" hidden="false" customHeight="false" outlineLevel="0" collapsed="false">
      <c r="A254" s="37"/>
      <c r="B254" s="38"/>
      <c r="C254" s="37"/>
      <c r="D254" s="31" t="str">
        <f aca="false">IF($C254="","",IFERROR(INDEX(Employee_Master!$B$5:$B$104,MATCH($C254,Employee_Master!$A$5:$A$104,0)),"ID not found"))</f>
        <v/>
      </c>
      <c r="E254" s="31" t="str">
        <f aca="false">IF($C254="","",IFERROR(INDEX(Employee_Master!$C$5:$C$104,MATCH($C254,Employee_Master!$A$5:$A$104,0)),"ID not found"))</f>
        <v/>
      </c>
      <c r="F254" s="37"/>
      <c r="G254" s="37"/>
      <c r="H254" s="37"/>
      <c r="I254" s="12"/>
      <c r="J254" s="37"/>
      <c r="K254" s="31" t="str">
        <f aca="false">IF(J254="","",IFERROR(INDEX(Reference_Data!$T$5:$T$14,MATCH(J254,Reference_Data!$S$5:$S$14,0)),0))</f>
        <v/>
      </c>
      <c r="L254" s="38"/>
      <c r="M254" s="38"/>
      <c r="N254" s="38"/>
      <c r="O254" s="37"/>
      <c r="P254" s="37"/>
      <c r="Q254" s="37"/>
      <c r="R254" s="38"/>
      <c r="S254" s="37"/>
      <c r="T254" s="31" t="n">
        <f aca="false">IF(OR(K254="",N254="",S254="Voided / Rescinded"),0,K254)</f>
        <v>0</v>
      </c>
      <c r="U254" s="12"/>
    </row>
    <row r="255" customFormat="false" ht="15" hidden="false" customHeight="false" outlineLevel="0" collapsed="false">
      <c r="A255" s="37"/>
      <c r="B255" s="38"/>
      <c r="C255" s="37"/>
      <c r="D255" s="31" t="str">
        <f aca="false">IF($C255="","",IFERROR(INDEX(Employee_Master!$B$5:$B$104,MATCH($C255,Employee_Master!$A$5:$A$104,0)),"ID not found"))</f>
        <v/>
      </c>
      <c r="E255" s="31" t="str">
        <f aca="false">IF($C255="","",IFERROR(INDEX(Employee_Master!$C$5:$C$104,MATCH($C255,Employee_Master!$A$5:$A$104,0)),"ID not found"))</f>
        <v/>
      </c>
      <c r="F255" s="37"/>
      <c r="G255" s="37"/>
      <c r="H255" s="37"/>
      <c r="I255" s="12"/>
      <c r="J255" s="37"/>
      <c r="K255" s="31" t="str">
        <f aca="false">IF(J255="","",IFERROR(INDEX(Reference_Data!$T$5:$T$14,MATCH(J255,Reference_Data!$S$5:$S$14,0)),0))</f>
        <v/>
      </c>
      <c r="L255" s="38"/>
      <c r="M255" s="38"/>
      <c r="N255" s="38"/>
      <c r="O255" s="37"/>
      <c r="P255" s="37"/>
      <c r="Q255" s="37"/>
      <c r="R255" s="38"/>
      <c r="S255" s="37"/>
      <c r="T255" s="31" t="n">
        <f aca="false">IF(OR(K255="",N255="",S255="Voided / Rescinded"),0,K255)</f>
        <v>0</v>
      </c>
      <c r="U255" s="12"/>
    </row>
    <row r="256" customFormat="false" ht="15" hidden="false" customHeight="false" outlineLevel="0" collapsed="false">
      <c r="A256" s="37"/>
      <c r="B256" s="38"/>
      <c r="C256" s="37"/>
      <c r="D256" s="31" t="str">
        <f aca="false">IF($C256="","",IFERROR(INDEX(Employee_Master!$B$5:$B$104,MATCH($C256,Employee_Master!$A$5:$A$104,0)),"ID not found"))</f>
        <v/>
      </c>
      <c r="E256" s="31" t="str">
        <f aca="false">IF($C256="","",IFERROR(INDEX(Employee_Master!$C$5:$C$104,MATCH($C256,Employee_Master!$A$5:$A$104,0)),"ID not found"))</f>
        <v/>
      </c>
      <c r="F256" s="37"/>
      <c r="G256" s="37"/>
      <c r="H256" s="37"/>
      <c r="I256" s="12"/>
      <c r="J256" s="37"/>
      <c r="K256" s="31" t="str">
        <f aca="false">IF(J256="","",IFERROR(INDEX(Reference_Data!$T$5:$T$14,MATCH(J256,Reference_Data!$S$5:$S$14,0)),0))</f>
        <v/>
      </c>
      <c r="L256" s="38"/>
      <c r="M256" s="38"/>
      <c r="N256" s="38"/>
      <c r="O256" s="37"/>
      <c r="P256" s="37"/>
      <c r="Q256" s="37"/>
      <c r="R256" s="38"/>
      <c r="S256" s="37"/>
      <c r="T256" s="31" t="n">
        <f aca="false">IF(OR(K256="",N256="",S256="Voided / Rescinded"),0,K256)</f>
        <v>0</v>
      </c>
      <c r="U256" s="12"/>
    </row>
    <row r="257" customFormat="false" ht="15" hidden="false" customHeight="false" outlineLevel="0" collapsed="false">
      <c r="A257" s="37"/>
      <c r="B257" s="38"/>
      <c r="C257" s="37"/>
      <c r="D257" s="31" t="str">
        <f aca="false">IF($C257="","",IFERROR(INDEX(Employee_Master!$B$5:$B$104,MATCH($C257,Employee_Master!$A$5:$A$104,0)),"ID not found"))</f>
        <v/>
      </c>
      <c r="E257" s="31" t="str">
        <f aca="false">IF($C257="","",IFERROR(INDEX(Employee_Master!$C$5:$C$104,MATCH($C257,Employee_Master!$A$5:$A$104,0)),"ID not found"))</f>
        <v/>
      </c>
      <c r="F257" s="37"/>
      <c r="G257" s="37"/>
      <c r="H257" s="37"/>
      <c r="I257" s="12"/>
      <c r="J257" s="37"/>
      <c r="K257" s="31" t="str">
        <f aca="false">IF(J257="","",IFERROR(INDEX(Reference_Data!$T$5:$T$14,MATCH(J257,Reference_Data!$S$5:$S$14,0)),0))</f>
        <v/>
      </c>
      <c r="L257" s="38"/>
      <c r="M257" s="38"/>
      <c r="N257" s="38"/>
      <c r="O257" s="37"/>
      <c r="P257" s="37"/>
      <c r="Q257" s="37"/>
      <c r="R257" s="38"/>
      <c r="S257" s="37"/>
      <c r="T257" s="31" t="n">
        <f aca="false">IF(OR(K257="",N257="",S257="Voided / Rescinded"),0,K257)</f>
        <v>0</v>
      </c>
      <c r="U257" s="12"/>
    </row>
    <row r="258" customFormat="false" ht="15" hidden="false" customHeight="false" outlineLevel="0" collapsed="false">
      <c r="A258" s="37"/>
      <c r="B258" s="38"/>
      <c r="C258" s="37"/>
      <c r="D258" s="31" t="str">
        <f aca="false">IF($C258="","",IFERROR(INDEX(Employee_Master!$B$5:$B$104,MATCH($C258,Employee_Master!$A$5:$A$104,0)),"ID not found"))</f>
        <v/>
      </c>
      <c r="E258" s="31" t="str">
        <f aca="false">IF($C258="","",IFERROR(INDEX(Employee_Master!$C$5:$C$104,MATCH($C258,Employee_Master!$A$5:$A$104,0)),"ID not found"))</f>
        <v/>
      </c>
      <c r="F258" s="37"/>
      <c r="G258" s="37"/>
      <c r="H258" s="37"/>
      <c r="I258" s="12"/>
      <c r="J258" s="37"/>
      <c r="K258" s="31" t="str">
        <f aca="false">IF(J258="","",IFERROR(INDEX(Reference_Data!$T$5:$T$14,MATCH(J258,Reference_Data!$S$5:$S$14,0)),0))</f>
        <v/>
      </c>
      <c r="L258" s="38"/>
      <c r="M258" s="38"/>
      <c r="N258" s="38"/>
      <c r="O258" s="37"/>
      <c r="P258" s="37"/>
      <c r="Q258" s="37"/>
      <c r="R258" s="38"/>
      <c r="S258" s="37"/>
      <c r="T258" s="31" t="n">
        <f aca="false">IF(OR(K258="",N258="",S258="Voided / Rescinded"),0,K258)</f>
        <v>0</v>
      </c>
      <c r="U258" s="12"/>
    </row>
    <row r="259" customFormat="false" ht="15" hidden="false" customHeight="false" outlineLevel="0" collapsed="false">
      <c r="A259" s="37"/>
      <c r="B259" s="38"/>
      <c r="C259" s="37"/>
      <c r="D259" s="31" t="str">
        <f aca="false">IF($C259="","",IFERROR(INDEX(Employee_Master!$B$5:$B$104,MATCH($C259,Employee_Master!$A$5:$A$104,0)),"ID not found"))</f>
        <v/>
      </c>
      <c r="E259" s="31" t="str">
        <f aca="false">IF($C259="","",IFERROR(INDEX(Employee_Master!$C$5:$C$104,MATCH($C259,Employee_Master!$A$5:$A$104,0)),"ID not found"))</f>
        <v/>
      </c>
      <c r="F259" s="37"/>
      <c r="G259" s="37"/>
      <c r="H259" s="37"/>
      <c r="I259" s="12"/>
      <c r="J259" s="37"/>
      <c r="K259" s="31" t="str">
        <f aca="false">IF(J259="","",IFERROR(INDEX(Reference_Data!$T$5:$T$14,MATCH(J259,Reference_Data!$S$5:$S$14,0)),0))</f>
        <v/>
      </c>
      <c r="L259" s="38"/>
      <c r="M259" s="38"/>
      <c r="N259" s="38"/>
      <c r="O259" s="37"/>
      <c r="P259" s="37"/>
      <c r="Q259" s="37"/>
      <c r="R259" s="38"/>
      <c r="S259" s="37"/>
      <c r="T259" s="31" t="n">
        <f aca="false">IF(OR(K259="",N259="",S259="Voided / Rescinded"),0,K259)</f>
        <v>0</v>
      </c>
      <c r="U259" s="12"/>
    </row>
    <row r="260" customFormat="false" ht="15" hidden="false" customHeight="false" outlineLevel="0" collapsed="false">
      <c r="A260" s="37"/>
      <c r="B260" s="38"/>
      <c r="C260" s="37"/>
      <c r="D260" s="31" t="str">
        <f aca="false">IF($C260="","",IFERROR(INDEX(Employee_Master!$B$5:$B$104,MATCH($C260,Employee_Master!$A$5:$A$104,0)),"ID not found"))</f>
        <v/>
      </c>
      <c r="E260" s="31" t="str">
        <f aca="false">IF($C260="","",IFERROR(INDEX(Employee_Master!$C$5:$C$104,MATCH($C260,Employee_Master!$A$5:$A$104,0)),"ID not found"))</f>
        <v/>
      </c>
      <c r="F260" s="37"/>
      <c r="G260" s="37"/>
      <c r="H260" s="37"/>
      <c r="I260" s="12"/>
      <c r="J260" s="37"/>
      <c r="K260" s="31" t="str">
        <f aca="false">IF(J260="","",IFERROR(INDEX(Reference_Data!$T$5:$T$14,MATCH(J260,Reference_Data!$S$5:$S$14,0)),0))</f>
        <v/>
      </c>
      <c r="L260" s="38"/>
      <c r="M260" s="38"/>
      <c r="N260" s="38"/>
      <c r="O260" s="37"/>
      <c r="P260" s="37"/>
      <c r="Q260" s="37"/>
      <c r="R260" s="38"/>
      <c r="S260" s="37"/>
      <c r="T260" s="31" t="n">
        <f aca="false">IF(OR(K260="",N260="",S260="Voided / Rescinded"),0,K260)</f>
        <v>0</v>
      </c>
      <c r="U260" s="12"/>
    </row>
    <row r="261" customFormat="false" ht="15" hidden="false" customHeight="false" outlineLevel="0" collapsed="false">
      <c r="A261" s="37"/>
      <c r="B261" s="38"/>
      <c r="C261" s="37"/>
      <c r="D261" s="31" t="str">
        <f aca="false">IF($C261="","",IFERROR(INDEX(Employee_Master!$B$5:$B$104,MATCH($C261,Employee_Master!$A$5:$A$104,0)),"ID not found"))</f>
        <v/>
      </c>
      <c r="E261" s="31" t="str">
        <f aca="false">IF($C261="","",IFERROR(INDEX(Employee_Master!$C$5:$C$104,MATCH($C261,Employee_Master!$A$5:$A$104,0)),"ID not found"))</f>
        <v/>
      </c>
      <c r="F261" s="37"/>
      <c r="G261" s="37"/>
      <c r="H261" s="37"/>
      <c r="I261" s="12"/>
      <c r="J261" s="37"/>
      <c r="K261" s="31" t="str">
        <f aca="false">IF(J261="","",IFERROR(INDEX(Reference_Data!$T$5:$T$14,MATCH(J261,Reference_Data!$S$5:$S$14,0)),0))</f>
        <v/>
      </c>
      <c r="L261" s="38"/>
      <c r="M261" s="38"/>
      <c r="N261" s="38"/>
      <c r="O261" s="37"/>
      <c r="P261" s="37"/>
      <c r="Q261" s="37"/>
      <c r="R261" s="38"/>
      <c r="S261" s="37"/>
      <c r="T261" s="31" t="n">
        <f aca="false">IF(OR(K261="",N261="",S261="Voided / Rescinded"),0,K261)</f>
        <v>0</v>
      </c>
      <c r="U261" s="12"/>
    </row>
    <row r="262" customFormat="false" ht="15" hidden="false" customHeight="false" outlineLevel="0" collapsed="false">
      <c r="A262" s="37"/>
      <c r="B262" s="38"/>
      <c r="C262" s="37"/>
      <c r="D262" s="31" t="str">
        <f aca="false">IF($C262="","",IFERROR(INDEX(Employee_Master!$B$5:$B$104,MATCH($C262,Employee_Master!$A$5:$A$104,0)),"ID not found"))</f>
        <v/>
      </c>
      <c r="E262" s="31" t="str">
        <f aca="false">IF($C262="","",IFERROR(INDEX(Employee_Master!$C$5:$C$104,MATCH($C262,Employee_Master!$A$5:$A$104,0)),"ID not found"))</f>
        <v/>
      </c>
      <c r="F262" s="37"/>
      <c r="G262" s="37"/>
      <c r="H262" s="37"/>
      <c r="I262" s="12"/>
      <c r="J262" s="37"/>
      <c r="K262" s="31" t="str">
        <f aca="false">IF(J262="","",IFERROR(INDEX(Reference_Data!$T$5:$T$14,MATCH(J262,Reference_Data!$S$5:$S$14,0)),0))</f>
        <v/>
      </c>
      <c r="L262" s="38"/>
      <c r="M262" s="38"/>
      <c r="N262" s="38"/>
      <c r="O262" s="37"/>
      <c r="P262" s="37"/>
      <c r="Q262" s="37"/>
      <c r="R262" s="38"/>
      <c r="S262" s="37"/>
      <c r="T262" s="31" t="n">
        <f aca="false">IF(OR(K262="",N262="",S262="Voided / Rescinded"),0,K262)</f>
        <v>0</v>
      </c>
      <c r="U262" s="12"/>
    </row>
    <row r="263" customFormat="false" ht="15" hidden="false" customHeight="false" outlineLevel="0" collapsed="false">
      <c r="A263" s="37"/>
      <c r="B263" s="38"/>
      <c r="C263" s="37"/>
      <c r="D263" s="31" t="str">
        <f aca="false">IF($C263="","",IFERROR(INDEX(Employee_Master!$B$5:$B$104,MATCH($C263,Employee_Master!$A$5:$A$104,0)),"ID not found"))</f>
        <v/>
      </c>
      <c r="E263" s="31" t="str">
        <f aca="false">IF($C263="","",IFERROR(INDEX(Employee_Master!$C$5:$C$104,MATCH($C263,Employee_Master!$A$5:$A$104,0)),"ID not found"))</f>
        <v/>
      </c>
      <c r="F263" s="37"/>
      <c r="G263" s="37"/>
      <c r="H263" s="37"/>
      <c r="I263" s="12"/>
      <c r="J263" s="37"/>
      <c r="K263" s="31" t="str">
        <f aca="false">IF(J263="","",IFERROR(INDEX(Reference_Data!$T$5:$T$14,MATCH(J263,Reference_Data!$S$5:$S$14,0)),0))</f>
        <v/>
      </c>
      <c r="L263" s="38"/>
      <c r="M263" s="38"/>
      <c r="N263" s="38"/>
      <c r="O263" s="37"/>
      <c r="P263" s="37"/>
      <c r="Q263" s="37"/>
      <c r="R263" s="38"/>
      <c r="S263" s="37"/>
      <c r="T263" s="31" t="n">
        <f aca="false">IF(OR(K263="",N263="",S263="Voided / Rescinded"),0,K263)</f>
        <v>0</v>
      </c>
      <c r="U263" s="12"/>
    </row>
    <row r="264" customFormat="false" ht="15" hidden="false" customHeight="false" outlineLevel="0" collapsed="false">
      <c r="A264" s="37"/>
      <c r="B264" s="38"/>
      <c r="C264" s="37"/>
      <c r="D264" s="31" t="str">
        <f aca="false">IF($C264="","",IFERROR(INDEX(Employee_Master!$B$5:$B$104,MATCH($C264,Employee_Master!$A$5:$A$104,0)),"ID not found"))</f>
        <v/>
      </c>
      <c r="E264" s="31" t="str">
        <f aca="false">IF($C264="","",IFERROR(INDEX(Employee_Master!$C$5:$C$104,MATCH($C264,Employee_Master!$A$5:$A$104,0)),"ID not found"))</f>
        <v/>
      </c>
      <c r="F264" s="37"/>
      <c r="G264" s="37"/>
      <c r="H264" s="37"/>
      <c r="I264" s="12"/>
      <c r="J264" s="37"/>
      <c r="K264" s="31" t="str">
        <f aca="false">IF(J264="","",IFERROR(INDEX(Reference_Data!$T$5:$T$14,MATCH(J264,Reference_Data!$S$5:$S$14,0)),0))</f>
        <v/>
      </c>
      <c r="L264" s="38"/>
      <c r="M264" s="38"/>
      <c r="N264" s="38"/>
      <c r="O264" s="37"/>
      <c r="P264" s="37"/>
      <c r="Q264" s="37"/>
      <c r="R264" s="38"/>
      <c r="S264" s="37"/>
      <c r="T264" s="31" t="n">
        <f aca="false">IF(OR(K264="",N264="",S264="Voided / Rescinded"),0,K264)</f>
        <v>0</v>
      </c>
      <c r="U264" s="12"/>
    </row>
    <row r="265" customFormat="false" ht="15" hidden="false" customHeight="false" outlineLevel="0" collapsed="false">
      <c r="A265" s="37"/>
      <c r="B265" s="38"/>
      <c r="C265" s="37"/>
      <c r="D265" s="31" t="str">
        <f aca="false">IF($C265="","",IFERROR(INDEX(Employee_Master!$B$5:$B$104,MATCH($C265,Employee_Master!$A$5:$A$104,0)),"ID not found"))</f>
        <v/>
      </c>
      <c r="E265" s="31" t="str">
        <f aca="false">IF($C265="","",IFERROR(INDEX(Employee_Master!$C$5:$C$104,MATCH($C265,Employee_Master!$A$5:$A$104,0)),"ID not found"))</f>
        <v/>
      </c>
      <c r="F265" s="37"/>
      <c r="G265" s="37"/>
      <c r="H265" s="37"/>
      <c r="I265" s="12"/>
      <c r="J265" s="37"/>
      <c r="K265" s="31" t="str">
        <f aca="false">IF(J265="","",IFERROR(INDEX(Reference_Data!$T$5:$T$14,MATCH(J265,Reference_Data!$S$5:$S$14,0)),0))</f>
        <v/>
      </c>
      <c r="L265" s="38"/>
      <c r="M265" s="38"/>
      <c r="N265" s="38"/>
      <c r="O265" s="37"/>
      <c r="P265" s="37"/>
      <c r="Q265" s="37"/>
      <c r="R265" s="38"/>
      <c r="S265" s="37"/>
      <c r="T265" s="31" t="n">
        <f aca="false">IF(OR(K265="",N265="",S265="Voided / Rescinded"),0,K265)</f>
        <v>0</v>
      </c>
      <c r="U265" s="12"/>
    </row>
    <row r="266" customFormat="false" ht="15" hidden="false" customHeight="false" outlineLevel="0" collapsed="false">
      <c r="A266" s="37"/>
      <c r="B266" s="38"/>
      <c r="C266" s="37"/>
      <c r="D266" s="31" t="str">
        <f aca="false">IF($C266="","",IFERROR(INDEX(Employee_Master!$B$5:$B$104,MATCH($C266,Employee_Master!$A$5:$A$104,0)),"ID not found"))</f>
        <v/>
      </c>
      <c r="E266" s="31" t="str">
        <f aca="false">IF($C266="","",IFERROR(INDEX(Employee_Master!$C$5:$C$104,MATCH($C266,Employee_Master!$A$5:$A$104,0)),"ID not found"))</f>
        <v/>
      </c>
      <c r="F266" s="37"/>
      <c r="G266" s="37"/>
      <c r="H266" s="37"/>
      <c r="I266" s="12"/>
      <c r="J266" s="37"/>
      <c r="K266" s="31" t="str">
        <f aca="false">IF(J266="","",IFERROR(INDEX(Reference_Data!$T$5:$T$14,MATCH(J266,Reference_Data!$S$5:$S$14,0)),0))</f>
        <v/>
      </c>
      <c r="L266" s="38"/>
      <c r="M266" s="38"/>
      <c r="N266" s="38"/>
      <c r="O266" s="37"/>
      <c r="P266" s="37"/>
      <c r="Q266" s="37"/>
      <c r="R266" s="38"/>
      <c r="S266" s="37"/>
      <c r="T266" s="31" t="n">
        <f aca="false">IF(OR(K266="",N266="",S266="Voided / Rescinded"),0,K266)</f>
        <v>0</v>
      </c>
      <c r="U266" s="12"/>
    </row>
    <row r="267" customFormat="false" ht="15" hidden="false" customHeight="false" outlineLevel="0" collapsed="false">
      <c r="A267" s="37"/>
      <c r="B267" s="38"/>
      <c r="C267" s="37"/>
      <c r="D267" s="31" t="str">
        <f aca="false">IF($C267="","",IFERROR(INDEX(Employee_Master!$B$5:$B$104,MATCH($C267,Employee_Master!$A$5:$A$104,0)),"ID not found"))</f>
        <v/>
      </c>
      <c r="E267" s="31" t="str">
        <f aca="false">IF($C267="","",IFERROR(INDEX(Employee_Master!$C$5:$C$104,MATCH($C267,Employee_Master!$A$5:$A$104,0)),"ID not found"))</f>
        <v/>
      </c>
      <c r="F267" s="37"/>
      <c r="G267" s="37"/>
      <c r="H267" s="37"/>
      <c r="I267" s="12"/>
      <c r="J267" s="37"/>
      <c r="K267" s="31" t="str">
        <f aca="false">IF(J267="","",IFERROR(INDEX(Reference_Data!$T$5:$T$14,MATCH(J267,Reference_Data!$S$5:$S$14,0)),0))</f>
        <v/>
      </c>
      <c r="L267" s="38"/>
      <c r="M267" s="38"/>
      <c r="N267" s="38"/>
      <c r="O267" s="37"/>
      <c r="P267" s="37"/>
      <c r="Q267" s="37"/>
      <c r="R267" s="38"/>
      <c r="S267" s="37"/>
      <c r="T267" s="31" t="n">
        <f aca="false">IF(OR(K267="",N267="",S267="Voided / Rescinded"),0,K267)</f>
        <v>0</v>
      </c>
      <c r="U267" s="12"/>
    </row>
    <row r="268" customFormat="false" ht="15" hidden="false" customHeight="false" outlineLevel="0" collapsed="false">
      <c r="A268" s="37"/>
      <c r="B268" s="38"/>
      <c r="C268" s="37"/>
      <c r="D268" s="31" t="str">
        <f aca="false">IF($C268="","",IFERROR(INDEX(Employee_Master!$B$5:$B$104,MATCH($C268,Employee_Master!$A$5:$A$104,0)),"ID not found"))</f>
        <v/>
      </c>
      <c r="E268" s="31" t="str">
        <f aca="false">IF($C268="","",IFERROR(INDEX(Employee_Master!$C$5:$C$104,MATCH($C268,Employee_Master!$A$5:$A$104,0)),"ID not found"))</f>
        <v/>
      </c>
      <c r="F268" s="37"/>
      <c r="G268" s="37"/>
      <c r="H268" s="37"/>
      <c r="I268" s="12"/>
      <c r="J268" s="37"/>
      <c r="K268" s="31" t="str">
        <f aca="false">IF(J268="","",IFERROR(INDEX(Reference_Data!$T$5:$T$14,MATCH(J268,Reference_Data!$S$5:$S$14,0)),0))</f>
        <v/>
      </c>
      <c r="L268" s="38"/>
      <c r="M268" s="38"/>
      <c r="N268" s="38"/>
      <c r="O268" s="37"/>
      <c r="P268" s="37"/>
      <c r="Q268" s="37"/>
      <c r="R268" s="38"/>
      <c r="S268" s="37"/>
      <c r="T268" s="31" t="n">
        <f aca="false">IF(OR(K268="",N268="",S268="Voided / Rescinded"),0,K268)</f>
        <v>0</v>
      </c>
      <c r="U268" s="12"/>
    </row>
    <row r="269" customFormat="false" ht="15" hidden="false" customHeight="false" outlineLevel="0" collapsed="false">
      <c r="A269" s="37"/>
      <c r="B269" s="38"/>
      <c r="C269" s="37"/>
      <c r="D269" s="31" t="str">
        <f aca="false">IF($C269="","",IFERROR(INDEX(Employee_Master!$B$5:$B$104,MATCH($C269,Employee_Master!$A$5:$A$104,0)),"ID not found"))</f>
        <v/>
      </c>
      <c r="E269" s="31" t="str">
        <f aca="false">IF($C269="","",IFERROR(INDEX(Employee_Master!$C$5:$C$104,MATCH($C269,Employee_Master!$A$5:$A$104,0)),"ID not found"))</f>
        <v/>
      </c>
      <c r="F269" s="37"/>
      <c r="G269" s="37"/>
      <c r="H269" s="37"/>
      <c r="I269" s="12"/>
      <c r="J269" s="37"/>
      <c r="K269" s="31" t="str">
        <f aca="false">IF(J269="","",IFERROR(INDEX(Reference_Data!$T$5:$T$14,MATCH(J269,Reference_Data!$S$5:$S$14,0)),0))</f>
        <v/>
      </c>
      <c r="L269" s="38"/>
      <c r="M269" s="38"/>
      <c r="N269" s="38"/>
      <c r="O269" s="37"/>
      <c r="P269" s="37"/>
      <c r="Q269" s="37"/>
      <c r="R269" s="38"/>
      <c r="S269" s="37"/>
      <c r="T269" s="31" t="n">
        <f aca="false">IF(OR(K269="",N269="",S269="Voided / Rescinded"),0,K269)</f>
        <v>0</v>
      </c>
      <c r="U269" s="12"/>
    </row>
    <row r="270" customFormat="false" ht="15" hidden="false" customHeight="false" outlineLevel="0" collapsed="false">
      <c r="A270" s="37"/>
      <c r="B270" s="38"/>
      <c r="C270" s="37"/>
      <c r="D270" s="31" t="str">
        <f aca="false">IF($C270="","",IFERROR(INDEX(Employee_Master!$B$5:$B$104,MATCH($C270,Employee_Master!$A$5:$A$104,0)),"ID not found"))</f>
        <v/>
      </c>
      <c r="E270" s="31" t="str">
        <f aca="false">IF($C270="","",IFERROR(INDEX(Employee_Master!$C$5:$C$104,MATCH($C270,Employee_Master!$A$5:$A$104,0)),"ID not found"))</f>
        <v/>
      </c>
      <c r="F270" s="37"/>
      <c r="G270" s="37"/>
      <c r="H270" s="37"/>
      <c r="I270" s="12"/>
      <c r="J270" s="37"/>
      <c r="K270" s="31" t="str">
        <f aca="false">IF(J270="","",IFERROR(INDEX(Reference_Data!$T$5:$T$14,MATCH(J270,Reference_Data!$S$5:$S$14,0)),0))</f>
        <v/>
      </c>
      <c r="L270" s="38"/>
      <c r="M270" s="38"/>
      <c r="N270" s="38"/>
      <c r="O270" s="37"/>
      <c r="P270" s="37"/>
      <c r="Q270" s="37"/>
      <c r="R270" s="38"/>
      <c r="S270" s="37"/>
      <c r="T270" s="31" t="n">
        <f aca="false">IF(OR(K270="",N270="",S270="Voided / Rescinded"),0,K270)</f>
        <v>0</v>
      </c>
      <c r="U270" s="12"/>
    </row>
    <row r="271" customFormat="false" ht="15" hidden="false" customHeight="false" outlineLevel="0" collapsed="false">
      <c r="A271" s="37"/>
      <c r="B271" s="38"/>
      <c r="C271" s="37"/>
      <c r="D271" s="31" t="str">
        <f aca="false">IF($C271="","",IFERROR(INDEX(Employee_Master!$B$5:$B$104,MATCH($C271,Employee_Master!$A$5:$A$104,0)),"ID not found"))</f>
        <v/>
      </c>
      <c r="E271" s="31" t="str">
        <f aca="false">IF($C271="","",IFERROR(INDEX(Employee_Master!$C$5:$C$104,MATCH($C271,Employee_Master!$A$5:$A$104,0)),"ID not found"))</f>
        <v/>
      </c>
      <c r="F271" s="37"/>
      <c r="G271" s="37"/>
      <c r="H271" s="37"/>
      <c r="I271" s="12"/>
      <c r="J271" s="37"/>
      <c r="K271" s="31" t="str">
        <f aca="false">IF(J271="","",IFERROR(INDEX(Reference_Data!$T$5:$T$14,MATCH(J271,Reference_Data!$S$5:$S$14,0)),0))</f>
        <v/>
      </c>
      <c r="L271" s="38"/>
      <c r="M271" s="38"/>
      <c r="N271" s="38"/>
      <c r="O271" s="37"/>
      <c r="P271" s="37"/>
      <c r="Q271" s="37"/>
      <c r="R271" s="38"/>
      <c r="S271" s="37"/>
      <c r="T271" s="31" t="n">
        <f aca="false">IF(OR(K271="",N271="",S271="Voided / Rescinded"),0,K271)</f>
        <v>0</v>
      </c>
      <c r="U271" s="12"/>
    </row>
    <row r="272" customFormat="false" ht="15" hidden="false" customHeight="false" outlineLevel="0" collapsed="false">
      <c r="A272" s="37"/>
      <c r="B272" s="38"/>
      <c r="C272" s="37"/>
      <c r="D272" s="31" t="str">
        <f aca="false">IF($C272="","",IFERROR(INDEX(Employee_Master!$B$5:$B$104,MATCH($C272,Employee_Master!$A$5:$A$104,0)),"ID not found"))</f>
        <v/>
      </c>
      <c r="E272" s="31" t="str">
        <f aca="false">IF($C272="","",IFERROR(INDEX(Employee_Master!$C$5:$C$104,MATCH($C272,Employee_Master!$A$5:$A$104,0)),"ID not found"))</f>
        <v/>
      </c>
      <c r="F272" s="37"/>
      <c r="G272" s="37"/>
      <c r="H272" s="37"/>
      <c r="I272" s="12"/>
      <c r="J272" s="37"/>
      <c r="K272" s="31" t="str">
        <f aca="false">IF(J272="","",IFERROR(INDEX(Reference_Data!$T$5:$T$14,MATCH(J272,Reference_Data!$S$5:$S$14,0)),0))</f>
        <v/>
      </c>
      <c r="L272" s="38"/>
      <c r="M272" s="38"/>
      <c r="N272" s="38"/>
      <c r="O272" s="37"/>
      <c r="P272" s="37"/>
      <c r="Q272" s="37"/>
      <c r="R272" s="38"/>
      <c r="S272" s="37"/>
      <c r="T272" s="31" t="n">
        <f aca="false">IF(OR(K272="",N272="",S272="Voided / Rescinded"),0,K272)</f>
        <v>0</v>
      </c>
      <c r="U272" s="12"/>
    </row>
    <row r="273" customFormat="false" ht="15" hidden="false" customHeight="false" outlineLevel="0" collapsed="false">
      <c r="A273" s="37"/>
      <c r="B273" s="38"/>
      <c r="C273" s="37"/>
      <c r="D273" s="31" t="str">
        <f aca="false">IF($C273="","",IFERROR(INDEX(Employee_Master!$B$5:$B$104,MATCH($C273,Employee_Master!$A$5:$A$104,0)),"ID not found"))</f>
        <v/>
      </c>
      <c r="E273" s="31" t="str">
        <f aca="false">IF($C273="","",IFERROR(INDEX(Employee_Master!$C$5:$C$104,MATCH($C273,Employee_Master!$A$5:$A$104,0)),"ID not found"))</f>
        <v/>
      </c>
      <c r="F273" s="37"/>
      <c r="G273" s="37"/>
      <c r="H273" s="37"/>
      <c r="I273" s="12"/>
      <c r="J273" s="37"/>
      <c r="K273" s="31" t="str">
        <f aca="false">IF(J273="","",IFERROR(INDEX(Reference_Data!$T$5:$T$14,MATCH(J273,Reference_Data!$S$5:$S$14,0)),0))</f>
        <v/>
      </c>
      <c r="L273" s="38"/>
      <c r="M273" s="38"/>
      <c r="N273" s="38"/>
      <c r="O273" s="37"/>
      <c r="P273" s="37"/>
      <c r="Q273" s="37"/>
      <c r="R273" s="38"/>
      <c r="S273" s="37"/>
      <c r="T273" s="31" t="n">
        <f aca="false">IF(OR(K273="",N273="",S273="Voided / Rescinded"),0,K273)</f>
        <v>0</v>
      </c>
      <c r="U273" s="12"/>
    </row>
    <row r="274" customFormat="false" ht="15" hidden="false" customHeight="false" outlineLevel="0" collapsed="false">
      <c r="A274" s="37"/>
      <c r="B274" s="38"/>
      <c r="C274" s="37"/>
      <c r="D274" s="31" t="str">
        <f aca="false">IF($C274="","",IFERROR(INDEX(Employee_Master!$B$5:$B$104,MATCH($C274,Employee_Master!$A$5:$A$104,0)),"ID not found"))</f>
        <v/>
      </c>
      <c r="E274" s="31" t="str">
        <f aca="false">IF($C274="","",IFERROR(INDEX(Employee_Master!$C$5:$C$104,MATCH($C274,Employee_Master!$A$5:$A$104,0)),"ID not found"))</f>
        <v/>
      </c>
      <c r="F274" s="37"/>
      <c r="G274" s="37"/>
      <c r="H274" s="37"/>
      <c r="I274" s="12"/>
      <c r="J274" s="37"/>
      <c r="K274" s="31" t="str">
        <f aca="false">IF(J274="","",IFERROR(INDEX(Reference_Data!$T$5:$T$14,MATCH(J274,Reference_Data!$S$5:$S$14,0)),0))</f>
        <v/>
      </c>
      <c r="L274" s="38"/>
      <c r="M274" s="38"/>
      <c r="N274" s="38"/>
      <c r="O274" s="37"/>
      <c r="P274" s="37"/>
      <c r="Q274" s="37"/>
      <c r="R274" s="38"/>
      <c r="S274" s="37"/>
      <c r="T274" s="31" t="n">
        <f aca="false">IF(OR(K274="",N274="",S274="Voided / Rescinded"),0,K274)</f>
        <v>0</v>
      </c>
      <c r="U274" s="12"/>
    </row>
    <row r="275" customFormat="false" ht="15" hidden="false" customHeight="false" outlineLevel="0" collapsed="false">
      <c r="A275" s="37"/>
      <c r="B275" s="38"/>
      <c r="C275" s="37"/>
      <c r="D275" s="31" t="str">
        <f aca="false">IF($C275="","",IFERROR(INDEX(Employee_Master!$B$5:$B$104,MATCH($C275,Employee_Master!$A$5:$A$104,0)),"ID not found"))</f>
        <v/>
      </c>
      <c r="E275" s="31" t="str">
        <f aca="false">IF($C275="","",IFERROR(INDEX(Employee_Master!$C$5:$C$104,MATCH($C275,Employee_Master!$A$5:$A$104,0)),"ID not found"))</f>
        <v/>
      </c>
      <c r="F275" s="37"/>
      <c r="G275" s="37"/>
      <c r="H275" s="37"/>
      <c r="I275" s="12"/>
      <c r="J275" s="37"/>
      <c r="K275" s="31" t="str">
        <f aca="false">IF(J275="","",IFERROR(INDEX(Reference_Data!$T$5:$T$14,MATCH(J275,Reference_Data!$S$5:$S$14,0)),0))</f>
        <v/>
      </c>
      <c r="L275" s="38"/>
      <c r="M275" s="38"/>
      <c r="N275" s="38"/>
      <c r="O275" s="37"/>
      <c r="P275" s="37"/>
      <c r="Q275" s="37"/>
      <c r="R275" s="38"/>
      <c r="S275" s="37"/>
      <c r="T275" s="31" t="n">
        <f aca="false">IF(OR(K275="",N275="",S275="Voided / Rescinded"),0,K275)</f>
        <v>0</v>
      </c>
      <c r="U275" s="12"/>
    </row>
    <row r="276" customFormat="false" ht="15" hidden="false" customHeight="false" outlineLevel="0" collapsed="false">
      <c r="A276" s="37"/>
      <c r="B276" s="38"/>
      <c r="C276" s="37"/>
      <c r="D276" s="31" t="str">
        <f aca="false">IF($C276="","",IFERROR(INDEX(Employee_Master!$B$5:$B$104,MATCH($C276,Employee_Master!$A$5:$A$104,0)),"ID not found"))</f>
        <v/>
      </c>
      <c r="E276" s="31" t="str">
        <f aca="false">IF($C276="","",IFERROR(INDEX(Employee_Master!$C$5:$C$104,MATCH($C276,Employee_Master!$A$5:$A$104,0)),"ID not found"))</f>
        <v/>
      </c>
      <c r="F276" s="37"/>
      <c r="G276" s="37"/>
      <c r="H276" s="37"/>
      <c r="I276" s="12"/>
      <c r="J276" s="37"/>
      <c r="K276" s="31" t="str">
        <f aca="false">IF(J276="","",IFERROR(INDEX(Reference_Data!$T$5:$T$14,MATCH(J276,Reference_Data!$S$5:$S$14,0)),0))</f>
        <v/>
      </c>
      <c r="L276" s="38"/>
      <c r="M276" s="38"/>
      <c r="N276" s="38"/>
      <c r="O276" s="37"/>
      <c r="P276" s="37"/>
      <c r="Q276" s="37"/>
      <c r="R276" s="38"/>
      <c r="S276" s="37"/>
      <c r="T276" s="31" t="n">
        <f aca="false">IF(OR(K276="",N276="",S276="Voided / Rescinded"),0,K276)</f>
        <v>0</v>
      </c>
      <c r="U276" s="12"/>
    </row>
    <row r="277" customFormat="false" ht="15" hidden="false" customHeight="false" outlineLevel="0" collapsed="false">
      <c r="A277" s="37"/>
      <c r="B277" s="38"/>
      <c r="C277" s="37"/>
      <c r="D277" s="31" t="str">
        <f aca="false">IF($C277="","",IFERROR(INDEX(Employee_Master!$B$5:$B$104,MATCH($C277,Employee_Master!$A$5:$A$104,0)),"ID not found"))</f>
        <v/>
      </c>
      <c r="E277" s="31" t="str">
        <f aca="false">IF($C277="","",IFERROR(INDEX(Employee_Master!$C$5:$C$104,MATCH($C277,Employee_Master!$A$5:$A$104,0)),"ID not found"))</f>
        <v/>
      </c>
      <c r="F277" s="37"/>
      <c r="G277" s="37"/>
      <c r="H277" s="37"/>
      <c r="I277" s="12"/>
      <c r="J277" s="37"/>
      <c r="K277" s="31" t="str">
        <f aca="false">IF(J277="","",IFERROR(INDEX(Reference_Data!$T$5:$T$14,MATCH(J277,Reference_Data!$S$5:$S$14,0)),0))</f>
        <v/>
      </c>
      <c r="L277" s="38"/>
      <c r="M277" s="38"/>
      <c r="N277" s="38"/>
      <c r="O277" s="37"/>
      <c r="P277" s="37"/>
      <c r="Q277" s="37"/>
      <c r="R277" s="38"/>
      <c r="S277" s="37"/>
      <c r="T277" s="31" t="n">
        <f aca="false">IF(OR(K277="",N277="",S277="Voided / Rescinded"),0,K277)</f>
        <v>0</v>
      </c>
      <c r="U277" s="12"/>
    </row>
    <row r="278" customFormat="false" ht="15" hidden="false" customHeight="false" outlineLevel="0" collapsed="false">
      <c r="A278" s="37"/>
      <c r="B278" s="38"/>
      <c r="C278" s="37"/>
      <c r="D278" s="31" t="str">
        <f aca="false">IF($C278="","",IFERROR(INDEX(Employee_Master!$B$5:$B$104,MATCH($C278,Employee_Master!$A$5:$A$104,0)),"ID not found"))</f>
        <v/>
      </c>
      <c r="E278" s="31" t="str">
        <f aca="false">IF($C278="","",IFERROR(INDEX(Employee_Master!$C$5:$C$104,MATCH($C278,Employee_Master!$A$5:$A$104,0)),"ID not found"))</f>
        <v/>
      </c>
      <c r="F278" s="37"/>
      <c r="G278" s="37"/>
      <c r="H278" s="37"/>
      <c r="I278" s="12"/>
      <c r="J278" s="37"/>
      <c r="K278" s="31" t="str">
        <f aca="false">IF(J278="","",IFERROR(INDEX(Reference_Data!$T$5:$T$14,MATCH(J278,Reference_Data!$S$5:$S$14,0)),0))</f>
        <v/>
      </c>
      <c r="L278" s="38"/>
      <c r="M278" s="38"/>
      <c r="N278" s="38"/>
      <c r="O278" s="37"/>
      <c r="P278" s="37"/>
      <c r="Q278" s="37"/>
      <c r="R278" s="38"/>
      <c r="S278" s="37"/>
      <c r="T278" s="31" t="n">
        <f aca="false">IF(OR(K278="",N278="",S278="Voided / Rescinded"),0,K278)</f>
        <v>0</v>
      </c>
      <c r="U278" s="12"/>
    </row>
    <row r="279" customFormat="false" ht="15" hidden="false" customHeight="false" outlineLevel="0" collapsed="false">
      <c r="A279" s="37"/>
      <c r="B279" s="38"/>
      <c r="C279" s="37"/>
      <c r="D279" s="31" t="str">
        <f aca="false">IF($C279="","",IFERROR(INDEX(Employee_Master!$B$5:$B$104,MATCH($C279,Employee_Master!$A$5:$A$104,0)),"ID not found"))</f>
        <v/>
      </c>
      <c r="E279" s="31" t="str">
        <f aca="false">IF($C279="","",IFERROR(INDEX(Employee_Master!$C$5:$C$104,MATCH($C279,Employee_Master!$A$5:$A$104,0)),"ID not found"))</f>
        <v/>
      </c>
      <c r="F279" s="37"/>
      <c r="G279" s="37"/>
      <c r="H279" s="37"/>
      <c r="I279" s="12"/>
      <c r="J279" s="37"/>
      <c r="K279" s="31" t="str">
        <f aca="false">IF(J279="","",IFERROR(INDEX(Reference_Data!$T$5:$T$14,MATCH(J279,Reference_Data!$S$5:$S$14,0)),0))</f>
        <v/>
      </c>
      <c r="L279" s="38"/>
      <c r="M279" s="38"/>
      <c r="N279" s="38"/>
      <c r="O279" s="37"/>
      <c r="P279" s="37"/>
      <c r="Q279" s="37"/>
      <c r="R279" s="38"/>
      <c r="S279" s="37"/>
      <c r="T279" s="31" t="n">
        <f aca="false">IF(OR(K279="",N279="",S279="Voided / Rescinded"),0,K279)</f>
        <v>0</v>
      </c>
      <c r="U279" s="12"/>
    </row>
    <row r="280" customFormat="false" ht="15" hidden="false" customHeight="false" outlineLevel="0" collapsed="false">
      <c r="A280" s="37"/>
      <c r="B280" s="38"/>
      <c r="C280" s="37"/>
      <c r="D280" s="31" t="str">
        <f aca="false">IF($C280="","",IFERROR(INDEX(Employee_Master!$B$5:$B$104,MATCH($C280,Employee_Master!$A$5:$A$104,0)),"ID not found"))</f>
        <v/>
      </c>
      <c r="E280" s="31" t="str">
        <f aca="false">IF($C280="","",IFERROR(INDEX(Employee_Master!$C$5:$C$104,MATCH($C280,Employee_Master!$A$5:$A$104,0)),"ID not found"))</f>
        <v/>
      </c>
      <c r="F280" s="37"/>
      <c r="G280" s="37"/>
      <c r="H280" s="37"/>
      <c r="I280" s="12"/>
      <c r="J280" s="37"/>
      <c r="K280" s="31" t="str">
        <f aca="false">IF(J280="","",IFERROR(INDEX(Reference_Data!$T$5:$T$14,MATCH(J280,Reference_Data!$S$5:$S$14,0)),0))</f>
        <v/>
      </c>
      <c r="L280" s="38"/>
      <c r="M280" s="38"/>
      <c r="N280" s="38"/>
      <c r="O280" s="37"/>
      <c r="P280" s="37"/>
      <c r="Q280" s="37"/>
      <c r="R280" s="38"/>
      <c r="S280" s="37"/>
      <c r="T280" s="31" t="n">
        <f aca="false">IF(OR(K280="",N280="",S280="Voided / Rescinded"),0,K280)</f>
        <v>0</v>
      </c>
      <c r="U280" s="12"/>
    </row>
    <row r="281" customFormat="false" ht="15" hidden="false" customHeight="false" outlineLevel="0" collapsed="false">
      <c r="A281" s="37"/>
      <c r="B281" s="38"/>
      <c r="C281" s="37"/>
      <c r="D281" s="31" t="str">
        <f aca="false">IF($C281="","",IFERROR(INDEX(Employee_Master!$B$5:$B$104,MATCH($C281,Employee_Master!$A$5:$A$104,0)),"ID not found"))</f>
        <v/>
      </c>
      <c r="E281" s="31" t="str">
        <f aca="false">IF($C281="","",IFERROR(INDEX(Employee_Master!$C$5:$C$104,MATCH($C281,Employee_Master!$A$5:$A$104,0)),"ID not found"))</f>
        <v/>
      </c>
      <c r="F281" s="37"/>
      <c r="G281" s="37"/>
      <c r="H281" s="37"/>
      <c r="I281" s="12"/>
      <c r="J281" s="37"/>
      <c r="K281" s="31" t="str">
        <f aca="false">IF(J281="","",IFERROR(INDEX(Reference_Data!$T$5:$T$14,MATCH(J281,Reference_Data!$S$5:$S$14,0)),0))</f>
        <v/>
      </c>
      <c r="L281" s="38"/>
      <c r="M281" s="38"/>
      <c r="N281" s="38"/>
      <c r="O281" s="37"/>
      <c r="P281" s="37"/>
      <c r="Q281" s="37"/>
      <c r="R281" s="38"/>
      <c r="S281" s="37"/>
      <c r="T281" s="31" t="n">
        <f aca="false">IF(OR(K281="",N281="",S281="Voided / Rescinded"),0,K281)</f>
        <v>0</v>
      </c>
      <c r="U281" s="12"/>
    </row>
    <row r="282" customFormat="false" ht="15" hidden="false" customHeight="false" outlineLevel="0" collapsed="false">
      <c r="A282" s="37"/>
      <c r="B282" s="38"/>
      <c r="C282" s="37"/>
      <c r="D282" s="31" t="str">
        <f aca="false">IF($C282="","",IFERROR(INDEX(Employee_Master!$B$5:$B$104,MATCH($C282,Employee_Master!$A$5:$A$104,0)),"ID not found"))</f>
        <v/>
      </c>
      <c r="E282" s="31" t="str">
        <f aca="false">IF($C282="","",IFERROR(INDEX(Employee_Master!$C$5:$C$104,MATCH($C282,Employee_Master!$A$5:$A$104,0)),"ID not found"))</f>
        <v/>
      </c>
      <c r="F282" s="37"/>
      <c r="G282" s="37"/>
      <c r="H282" s="37"/>
      <c r="I282" s="12"/>
      <c r="J282" s="37"/>
      <c r="K282" s="31" t="str">
        <f aca="false">IF(J282="","",IFERROR(INDEX(Reference_Data!$T$5:$T$14,MATCH(J282,Reference_Data!$S$5:$S$14,0)),0))</f>
        <v/>
      </c>
      <c r="L282" s="38"/>
      <c r="M282" s="38"/>
      <c r="N282" s="38"/>
      <c r="O282" s="37"/>
      <c r="P282" s="37"/>
      <c r="Q282" s="37"/>
      <c r="R282" s="38"/>
      <c r="S282" s="37"/>
      <c r="T282" s="31" t="n">
        <f aca="false">IF(OR(K282="",N282="",S282="Voided / Rescinded"),0,K282)</f>
        <v>0</v>
      </c>
      <c r="U282" s="12"/>
    </row>
    <row r="283" customFormat="false" ht="15" hidden="false" customHeight="false" outlineLevel="0" collapsed="false">
      <c r="A283" s="37"/>
      <c r="B283" s="38"/>
      <c r="C283" s="37"/>
      <c r="D283" s="31" t="str">
        <f aca="false">IF($C283="","",IFERROR(INDEX(Employee_Master!$B$5:$B$104,MATCH($C283,Employee_Master!$A$5:$A$104,0)),"ID not found"))</f>
        <v/>
      </c>
      <c r="E283" s="31" t="str">
        <f aca="false">IF($C283="","",IFERROR(INDEX(Employee_Master!$C$5:$C$104,MATCH($C283,Employee_Master!$A$5:$A$104,0)),"ID not found"))</f>
        <v/>
      </c>
      <c r="F283" s="37"/>
      <c r="G283" s="37"/>
      <c r="H283" s="37"/>
      <c r="I283" s="12"/>
      <c r="J283" s="37"/>
      <c r="K283" s="31" t="str">
        <f aca="false">IF(J283="","",IFERROR(INDEX(Reference_Data!$T$5:$T$14,MATCH(J283,Reference_Data!$S$5:$S$14,0)),0))</f>
        <v/>
      </c>
      <c r="L283" s="38"/>
      <c r="M283" s="38"/>
      <c r="N283" s="38"/>
      <c r="O283" s="37"/>
      <c r="P283" s="37"/>
      <c r="Q283" s="37"/>
      <c r="R283" s="38"/>
      <c r="S283" s="37"/>
      <c r="T283" s="31" t="n">
        <f aca="false">IF(OR(K283="",N283="",S283="Voided / Rescinded"),0,K283)</f>
        <v>0</v>
      </c>
      <c r="U283" s="12"/>
    </row>
    <row r="284" customFormat="false" ht="15" hidden="false" customHeight="false" outlineLevel="0" collapsed="false">
      <c r="A284" s="37"/>
      <c r="B284" s="38"/>
      <c r="C284" s="37"/>
      <c r="D284" s="31" t="str">
        <f aca="false">IF($C284="","",IFERROR(INDEX(Employee_Master!$B$5:$B$104,MATCH($C284,Employee_Master!$A$5:$A$104,0)),"ID not found"))</f>
        <v/>
      </c>
      <c r="E284" s="31" t="str">
        <f aca="false">IF($C284="","",IFERROR(INDEX(Employee_Master!$C$5:$C$104,MATCH($C284,Employee_Master!$A$5:$A$104,0)),"ID not found"))</f>
        <v/>
      </c>
      <c r="F284" s="37"/>
      <c r="G284" s="37"/>
      <c r="H284" s="37"/>
      <c r="I284" s="12"/>
      <c r="J284" s="37"/>
      <c r="K284" s="31" t="str">
        <f aca="false">IF(J284="","",IFERROR(INDEX(Reference_Data!$T$5:$T$14,MATCH(J284,Reference_Data!$S$5:$S$14,0)),0))</f>
        <v/>
      </c>
      <c r="L284" s="38"/>
      <c r="M284" s="38"/>
      <c r="N284" s="38"/>
      <c r="O284" s="37"/>
      <c r="P284" s="37"/>
      <c r="Q284" s="37"/>
      <c r="R284" s="38"/>
      <c r="S284" s="37"/>
      <c r="T284" s="31" t="n">
        <f aca="false">IF(OR(K284="",N284="",S284="Voided / Rescinded"),0,K284)</f>
        <v>0</v>
      </c>
      <c r="U284" s="12"/>
    </row>
    <row r="285" customFormat="false" ht="15" hidden="false" customHeight="false" outlineLevel="0" collapsed="false">
      <c r="A285" s="37"/>
      <c r="B285" s="38"/>
      <c r="C285" s="37"/>
      <c r="D285" s="31" t="str">
        <f aca="false">IF($C285="","",IFERROR(INDEX(Employee_Master!$B$5:$B$104,MATCH($C285,Employee_Master!$A$5:$A$104,0)),"ID not found"))</f>
        <v/>
      </c>
      <c r="E285" s="31" t="str">
        <f aca="false">IF($C285="","",IFERROR(INDEX(Employee_Master!$C$5:$C$104,MATCH($C285,Employee_Master!$A$5:$A$104,0)),"ID not found"))</f>
        <v/>
      </c>
      <c r="F285" s="37"/>
      <c r="G285" s="37"/>
      <c r="H285" s="37"/>
      <c r="I285" s="12"/>
      <c r="J285" s="37"/>
      <c r="K285" s="31" t="str">
        <f aca="false">IF(J285="","",IFERROR(INDEX(Reference_Data!$T$5:$T$14,MATCH(J285,Reference_Data!$S$5:$S$14,0)),0))</f>
        <v/>
      </c>
      <c r="L285" s="38"/>
      <c r="M285" s="38"/>
      <c r="N285" s="38"/>
      <c r="O285" s="37"/>
      <c r="P285" s="37"/>
      <c r="Q285" s="37"/>
      <c r="R285" s="38"/>
      <c r="S285" s="37"/>
      <c r="T285" s="31" t="n">
        <f aca="false">IF(OR(K285="",N285="",S285="Voided / Rescinded"),0,K285)</f>
        <v>0</v>
      </c>
      <c r="U285" s="12"/>
    </row>
    <row r="286" customFormat="false" ht="15" hidden="false" customHeight="false" outlineLevel="0" collapsed="false">
      <c r="A286" s="37"/>
      <c r="B286" s="38"/>
      <c r="C286" s="37"/>
      <c r="D286" s="31" t="str">
        <f aca="false">IF($C286="","",IFERROR(INDEX(Employee_Master!$B$5:$B$104,MATCH($C286,Employee_Master!$A$5:$A$104,0)),"ID not found"))</f>
        <v/>
      </c>
      <c r="E286" s="31" t="str">
        <f aca="false">IF($C286="","",IFERROR(INDEX(Employee_Master!$C$5:$C$104,MATCH($C286,Employee_Master!$A$5:$A$104,0)),"ID not found"))</f>
        <v/>
      </c>
      <c r="F286" s="37"/>
      <c r="G286" s="37"/>
      <c r="H286" s="37"/>
      <c r="I286" s="12"/>
      <c r="J286" s="37"/>
      <c r="K286" s="31" t="str">
        <f aca="false">IF(J286="","",IFERROR(INDEX(Reference_Data!$T$5:$T$14,MATCH(J286,Reference_Data!$S$5:$S$14,0)),0))</f>
        <v/>
      </c>
      <c r="L286" s="38"/>
      <c r="M286" s="38"/>
      <c r="N286" s="38"/>
      <c r="O286" s="37"/>
      <c r="P286" s="37"/>
      <c r="Q286" s="37"/>
      <c r="R286" s="38"/>
      <c r="S286" s="37"/>
      <c r="T286" s="31" t="n">
        <f aca="false">IF(OR(K286="",N286="",S286="Voided / Rescinded"),0,K286)</f>
        <v>0</v>
      </c>
      <c r="U286" s="12"/>
    </row>
    <row r="287" customFormat="false" ht="15" hidden="false" customHeight="false" outlineLevel="0" collapsed="false">
      <c r="A287" s="37"/>
      <c r="B287" s="38"/>
      <c r="C287" s="37"/>
      <c r="D287" s="31" t="str">
        <f aca="false">IF($C287="","",IFERROR(INDEX(Employee_Master!$B$5:$B$104,MATCH($C287,Employee_Master!$A$5:$A$104,0)),"ID not found"))</f>
        <v/>
      </c>
      <c r="E287" s="31" t="str">
        <f aca="false">IF($C287="","",IFERROR(INDEX(Employee_Master!$C$5:$C$104,MATCH($C287,Employee_Master!$A$5:$A$104,0)),"ID not found"))</f>
        <v/>
      </c>
      <c r="F287" s="37"/>
      <c r="G287" s="37"/>
      <c r="H287" s="37"/>
      <c r="I287" s="12"/>
      <c r="J287" s="37"/>
      <c r="K287" s="31" t="str">
        <f aca="false">IF(J287="","",IFERROR(INDEX(Reference_Data!$T$5:$T$14,MATCH(J287,Reference_Data!$S$5:$S$14,0)),0))</f>
        <v/>
      </c>
      <c r="L287" s="38"/>
      <c r="M287" s="38"/>
      <c r="N287" s="38"/>
      <c r="O287" s="37"/>
      <c r="P287" s="37"/>
      <c r="Q287" s="37"/>
      <c r="R287" s="38"/>
      <c r="S287" s="37"/>
      <c r="T287" s="31" t="n">
        <f aca="false">IF(OR(K287="",N287="",S287="Voided / Rescinded"),0,K287)</f>
        <v>0</v>
      </c>
      <c r="U287" s="12"/>
    </row>
    <row r="288" customFormat="false" ht="15" hidden="false" customHeight="false" outlineLevel="0" collapsed="false">
      <c r="A288" s="37"/>
      <c r="B288" s="38"/>
      <c r="C288" s="37"/>
      <c r="D288" s="31" t="str">
        <f aca="false">IF($C288="","",IFERROR(INDEX(Employee_Master!$B$5:$B$104,MATCH($C288,Employee_Master!$A$5:$A$104,0)),"ID not found"))</f>
        <v/>
      </c>
      <c r="E288" s="31" t="str">
        <f aca="false">IF($C288="","",IFERROR(INDEX(Employee_Master!$C$5:$C$104,MATCH($C288,Employee_Master!$A$5:$A$104,0)),"ID not found"))</f>
        <v/>
      </c>
      <c r="F288" s="37"/>
      <c r="G288" s="37"/>
      <c r="H288" s="37"/>
      <c r="I288" s="12"/>
      <c r="J288" s="37"/>
      <c r="K288" s="31" t="str">
        <f aca="false">IF(J288="","",IFERROR(INDEX(Reference_Data!$T$5:$T$14,MATCH(J288,Reference_Data!$S$5:$S$14,0)),0))</f>
        <v/>
      </c>
      <c r="L288" s="38"/>
      <c r="M288" s="38"/>
      <c r="N288" s="38"/>
      <c r="O288" s="37"/>
      <c r="P288" s="37"/>
      <c r="Q288" s="37"/>
      <c r="R288" s="38"/>
      <c r="S288" s="37"/>
      <c r="T288" s="31" t="n">
        <f aca="false">IF(OR(K288="",N288="",S288="Voided / Rescinded"),0,K288)</f>
        <v>0</v>
      </c>
      <c r="U288" s="12"/>
    </row>
    <row r="289" customFormat="false" ht="15" hidden="false" customHeight="false" outlineLevel="0" collapsed="false">
      <c r="A289" s="37"/>
      <c r="B289" s="38"/>
      <c r="C289" s="37"/>
      <c r="D289" s="31" t="str">
        <f aca="false">IF($C289="","",IFERROR(INDEX(Employee_Master!$B$5:$B$104,MATCH($C289,Employee_Master!$A$5:$A$104,0)),"ID not found"))</f>
        <v/>
      </c>
      <c r="E289" s="31" t="str">
        <f aca="false">IF($C289="","",IFERROR(INDEX(Employee_Master!$C$5:$C$104,MATCH($C289,Employee_Master!$A$5:$A$104,0)),"ID not found"))</f>
        <v/>
      </c>
      <c r="F289" s="37"/>
      <c r="G289" s="37"/>
      <c r="H289" s="37"/>
      <c r="I289" s="12"/>
      <c r="J289" s="37"/>
      <c r="K289" s="31" t="str">
        <f aca="false">IF(J289="","",IFERROR(INDEX(Reference_Data!$T$5:$T$14,MATCH(J289,Reference_Data!$S$5:$S$14,0)),0))</f>
        <v/>
      </c>
      <c r="L289" s="38"/>
      <c r="M289" s="38"/>
      <c r="N289" s="38"/>
      <c r="O289" s="37"/>
      <c r="P289" s="37"/>
      <c r="Q289" s="37"/>
      <c r="R289" s="38"/>
      <c r="S289" s="37"/>
      <c r="T289" s="31" t="n">
        <f aca="false">IF(OR(K289="",N289="",S289="Voided / Rescinded"),0,K289)</f>
        <v>0</v>
      </c>
      <c r="U289" s="12"/>
    </row>
    <row r="290" customFormat="false" ht="15" hidden="false" customHeight="false" outlineLevel="0" collapsed="false">
      <c r="A290" s="37"/>
      <c r="B290" s="38"/>
      <c r="C290" s="37"/>
      <c r="D290" s="31" t="str">
        <f aca="false">IF($C290="","",IFERROR(INDEX(Employee_Master!$B$5:$B$104,MATCH($C290,Employee_Master!$A$5:$A$104,0)),"ID not found"))</f>
        <v/>
      </c>
      <c r="E290" s="31" t="str">
        <f aca="false">IF($C290="","",IFERROR(INDEX(Employee_Master!$C$5:$C$104,MATCH($C290,Employee_Master!$A$5:$A$104,0)),"ID not found"))</f>
        <v/>
      </c>
      <c r="F290" s="37"/>
      <c r="G290" s="37"/>
      <c r="H290" s="37"/>
      <c r="I290" s="12"/>
      <c r="J290" s="37"/>
      <c r="K290" s="31" t="str">
        <f aca="false">IF(J290="","",IFERROR(INDEX(Reference_Data!$T$5:$T$14,MATCH(J290,Reference_Data!$S$5:$S$14,0)),0))</f>
        <v/>
      </c>
      <c r="L290" s="38"/>
      <c r="M290" s="38"/>
      <c r="N290" s="38"/>
      <c r="O290" s="37"/>
      <c r="P290" s="37"/>
      <c r="Q290" s="37"/>
      <c r="R290" s="38"/>
      <c r="S290" s="37"/>
      <c r="T290" s="31" t="n">
        <f aca="false">IF(OR(K290="",N290="",S290="Voided / Rescinded"),0,K290)</f>
        <v>0</v>
      </c>
      <c r="U290" s="12"/>
    </row>
    <row r="291" customFormat="false" ht="15" hidden="false" customHeight="false" outlineLevel="0" collapsed="false">
      <c r="A291" s="37"/>
      <c r="B291" s="38"/>
      <c r="C291" s="37"/>
      <c r="D291" s="31" t="str">
        <f aca="false">IF($C291="","",IFERROR(INDEX(Employee_Master!$B$5:$B$104,MATCH($C291,Employee_Master!$A$5:$A$104,0)),"ID not found"))</f>
        <v/>
      </c>
      <c r="E291" s="31" t="str">
        <f aca="false">IF($C291="","",IFERROR(INDEX(Employee_Master!$C$5:$C$104,MATCH($C291,Employee_Master!$A$5:$A$104,0)),"ID not found"))</f>
        <v/>
      </c>
      <c r="F291" s="37"/>
      <c r="G291" s="37"/>
      <c r="H291" s="37"/>
      <c r="I291" s="12"/>
      <c r="J291" s="37"/>
      <c r="K291" s="31" t="str">
        <f aca="false">IF(J291="","",IFERROR(INDEX(Reference_Data!$T$5:$T$14,MATCH(J291,Reference_Data!$S$5:$S$14,0)),0))</f>
        <v/>
      </c>
      <c r="L291" s="38"/>
      <c r="M291" s="38"/>
      <c r="N291" s="38"/>
      <c r="O291" s="37"/>
      <c r="P291" s="37"/>
      <c r="Q291" s="37"/>
      <c r="R291" s="38"/>
      <c r="S291" s="37"/>
      <c r="T291" s="31" t="n">
        <f aca="false">IF(OR(K291="",N291="",S291="Voided / Rescinded"),0,K291)</f>
        <v>0</v>
      </c>
      <c r="U291" s="12"/>
    </row>
    <row r="292" customFormat="false" ht="15" hidden="false" customHeight="false" outlineLevel="0" collapsed="false">
      <c r="A292" s="37"/>
      <c r="B292" s="38"/>
      <c r="C292" s="37"/>
      <c r="D292" s="31" t="str">
        <f aca="false">IF($C292="","",IFERROR(INDEX(Employee_Master!$B$5:$B$104,MATCH($C292,Employee_Master!$A$5:$A$104,0)),"ID not found"))</f>
        <v/>
      </c>
      <c r="E292" s="31" t="str">
        <f aca="false">IF($C292="","",IFERROR(INDEX(Employee_Master!$C$5:$C$104,MATCH($C292,Employee_Master!$A$5:$A$104,0)),"ID not found"))</f>
        <v/>
      </c>
      <c r="F292" s="37"/>
      <c r="G292" s="37"/>
      <c r="H292" s="37"/>
      <c r="I292" s="12"/>
      <c r="J292" s="37"/>
      <c r="K292" s="31" t="str">
        <f aca="false">IF(J292="","",IFERROR(INDEX(Reference_Data!$T$5:$T$14,MATCH(J292,Reference_Data!$S$5:$S$14,0)),0))</f>
        <v/>
      </c>
      <c r="L292" s="38"/>
      <c r="M292" s="38"/>
      <c r="N292" s="38"/>
      <c r="O292" s="37"/>
      <c r="P292" s="37"/>
      <c r="Q292" s="37"/>
      <c r="R292" s="38"/>
      <c r="S292" s="37"/>
      <c r="T292" s="31" t="n">
        <f aca="false">IF(OR(K292="",N292="",S292="Voided / Rescinded"),0,K292)</f>
        <v>0</v>
      </c>
      <c r="U292" s="12"/>
    </row>
    <row r="293" customFormat="false" ht="15" hidden="false" customHeight="false" outlineLevel="0" collapsed="false">
      <c r="A293" s="37"/>
      <c r="B293" s="38"/>
      <c r="C293" s="37"/>
      <c r="D293" s="31" t="str">
        <f aca="false">IF($C293="","",IFERROR(INDEX(Employee_Master!$B$5:$B$104,MATCH($C293,Employee_Master!$A$5:$A$104,0)),"ID not found"))</f>
        <v/>
      </c>
      <c r="E293" s="31" t="str">
        <f aca="false">IF($C293="","",IFERROR(INDEX(Employee_Master!$C$5:$C$104,MATCH($C293,Employee_Master!$A$5:$A$104,0)),"ID not found"))</f>
        <v/>
      </c>
      <c r="F293" s="37"/>
      <c r="G293" s="37"/>
      <c r="H293" s="37"/>
      <c r="I293" s="12"/>
      <c r="J293" s="37"/>
      <c r="K293" s="31" t="str">
        <f aca="false">IF(J293="","",IFERROR(INDEX(Reference_Data!$T$5:$T$14,MATCH(J293,Reference_Data!$S$5:$S$14,0)),0))</f>
        <v/>
      </c>
      <c r="L293" s="38"/>
      <c r="M293" s="38"/>
      <c r="N293" s="38"/>
      <c r="O293" s="37"/>
      <c r="P293" s="37"/>
      <c r="Q293" s="37"/>
      <c r="R293" s="38"/>
      <c r="S293" s="37"/>
      <c r="T293" s="31" t="n">
        <f aca="false">IF(OR(K293="",N293="",S293="Voided / Rescinded"),0,K293)</f>
        <v>0</v>
      </c>
      <c r="U293" s="12"/>
    </row>
    <row r="294" customFormat="false" ht="15" hidden="false" customHeight="false" outlineLevel="0" collapsed="false">
      <c r="A294" s="37"/>
      <c r="B294" s="38"/>
      <c r="C294" s="37"/>
      <c r="D294" s="31" t="str">
        <f aca="false">IF($C294="","",IFERROR(INDEX(Employee_Master!$B$5:$B$104,MATCH($C294,Employee_Master!$A$5:$A$104,0)),"ID not found"))</f>
        <v/>
      </c>
      <c r="E294" s="31" t="str">
        <f aca="false">IF($C294="","",IFERROR(INDEX(Employee_Master!$C$5:$C$104,MATCH($C294,Employee_Master!$A$5:$A$104,0)),"ID not found"))</f>
        <v/>
      </c>
      <c r="F294" s="37"/>
      <c r="G294" s="37"/>
      <c r="H294" s="37"/>
      <c r="I294" s="12"/>
      <c r="J294" s="37"/>
      <c r="K294" s="31" t="str">
        <f aca="false">IF(J294="","",IFERROR(INDEX(Reference_Data!$T$5:$T$14,MATCH(J294,Reference_Data!$S$5:$S$14,0)),0))</f>
        <v/>
      </c>
      <c r="L294" s="38"/>
      <c r="M294" s="38"/>
      <c r="N294" s="38"/>
      <c r="O294" s="37"/>
      <c r="P294" s="37"/>
      <c r="Q294" s="37"/>
      <c r="R294" s="38"/>
      <c r="S294" s="37"/>
      <c r="T294" s="31" t="n">
        <f aca="false">IF(OR(K294="",N294="",S294="Voided / Rescinded"),0,K294)</f>
        <v>0</v>
      </c>
      <c r="U294" s="12"/>
    </row>
    <row r="295" customFormat="false" ht="15" hidden="false" customHeight="false" outlineLevel="0" collapsed="false">
      <c r="A295" s="37"/>
      <c r="B295" s="38"/>
      <c r="C295" s="37"/>
      <c r="D295" s="31" t="str">
        <f aca="false">IF($C295="","",IFERROR(INDEX(Employee_Master!$B$5:$B$104,MATCH($C295,Employee_Master!$A$5:$A$104,0)),"ID not found"))</f>
        <v/>
      </c>
      <c r="E295" s="31" t="str">
        <f aca="false">IF($C295="","",IFERROR(INDEX(Employee_Master!$C$5:$C$104,MATCH($C295,Employee_Master!$A$5:$A$104,0)),"ID not found"))</f>
        <v/>
      </c>
      <c r="F295" s="37"/>
      <c r="G295" s="37"/>
      <c r="H295" s="37"/>
      <c r="I295" s="12"/>
      <c r="J295" s="37"/>
      <c r="K295" s="31" t="str">
        <f aca="false">IF(J295="","",IFERROR(INDEX(Reference_Data!$T$5:$T$14,MATCH(J295,Reference_Data!$S$5:$S$14,0)),0))</f>
        <v/>
      </c>
      <c r="L295" s="38"/>
      <c r="M295" s="38"/>
      <c r="N295" s="38"/>
      <c r="O295" s="37"/>
      <c r="P295" s="37"/>
      <c r="Q295" s="37"/>
      <c r="R295" s="38"/>
      <c r="S295" s="37"/>
      <c r="T295" s="31" t="n">
        <f aca="false">IF(OR(K295="",N295="",S295="Voided / Rescinded"),0,K295)</f>
        <v>0</v>
      </c>
      <c r="U295" s="12"/>
    </row>
    <row r="296" customFormat="false" ht="15" hidden="false" customHeight="false" outlineLevel="0" collapsed="false">
      <c r="A296" s="37"/>
      <c r="B296" s="38"/>
      <c r="C296" s="37"/>
      <c r="D296" s="31" t="str">
        <f aca="false">IF($C296="","",IFERROR(INDEX(Employee_Master!$B$5:$B$104,MATCH($C296,Employee_Master!$A$5:$A$104,0)),"ID not found"))</f>
        <v/>
      </c>
      <c r="E296" s="31" t="str">
        <f aca="false">IF($C296="","",IFERROR(INDEX(Employee_Master!$C$5:$C$104,MATCH($C296,Employee_Master!$A$5:$A$104,0)),"ID not found"))</f>
        <v/>
      </c>
      <c r="F296" s="37"/>
      <c r="G296" s="37"/>
      <c r="H296" s="37"/>
      <c r="I296" s="12"/>
      <c r="J296" s="37"/>
      <c r="K296" s="31" t="str">
        <f aca="false">IF(J296="","",IFERROR(INDEX(Reference_Data!$T$5:$T$14,MATCH(J296,Reference_Data!$S$5:$S$14,0)),0))</f>
        <v/>
      </c>
      <c r="L296" s="38"/>
      <c r="M296" s="38"/>
      <c r="N296" s="38"/>
      <c r="O296" s="37"/>
      <c r="P296" s="37"/>
      <c r="Q296" s="37"/>
      <c r="R296" s="38"/>
      <c r="S296" s="37"/>
      <c r="T296" s="31" t="n">
        <f aca="false">IF(OR(K296="",N296="",S296="Voided / Rescinded"),0,K296)</f>
        <v>0</v>
      </c>
      <c r="U296" s="12"/>
    </row>
    <row r="297" customFormat="false" ht="15" hidden="false" customHeight="false" outlineLevel="0" collapsed="false">
      <c r="A297" s="37"/>
      <c r="B297" s="38"/>
      <c r="C297" s="37"/>
      <c r="D297" s="31" t="str">
        <f aca="false">IF($C297="","",IFERROR(INDEX(Employee_Master!$B$5:$B$104,MATCH($C297,Employee_Master!$A$5:$A$104,0)),"ID not found"))</f>
        <v/>
      </c>
      <c r="E297" s="31" t="str">
        <f aca="false">IF($C297="","",IFERROR(INDEX(Employee_Master!$C$5:$C$104,MATCH($C297,Employee_Master!$A$5:$A$104,0)),"ID not found"))</f>
        <v/>
      </c>
      <c r="F297" s="37"/>
      <c r="G297" s="37"/>
      <c r="H297" s="37"/>
      <c r="I297" s="12"/>
      <c r="J297" s="37"/>
      <c r="K297" s="31" t="str">
        <f aca="false">IF(J297="","",IFERROR(INDEX(Reference_Data!$T$5:$T$14,MATCH(J297,Reference_Data!$S$5:$S$14,0)),0))</f>
        <v/>
      </c>
      <c r="L297" s="38"/>
      <c r="M297" s="38"/>
      <c r="N297" s="38"/>
      <c r="O297" s="37"/>
      <c r="P297" s="37"/>
      <c r="Q297" s="37"/>
      <c r="R297" s="38"/>
      <c r="S297" s="37"/>
      <c r="T297" s="31" t="n">
        <f aca="false">IF(OR(K297="",N297="",S297="Voided / Rescinded"),0,K297)</f>
        <v>0</v>
      </c>
      <c r="U297" s="12"/>
    </row>
    <row r="298" customFormat="false" ht="15" hidden="false" customHeight="false" outlineLevel="0" collapsed="false">
      <c r="A298" s="37"/>
      <c r="B298" s="38"/>
      <c r="C298" s="37"/>
      <c r="D298" s="31" t="str">
        <f aca="false">IF($C298="","",IFERROR(INDEX(Employee_Master!$B$5:$B$104,MATCH($C298,Employee_Master!$A$5:$A$104,0)),"ID not found"))</f>
        <v/>
      </c>
      <c r="E298" s="31" t="str">
        <f aca="false">IF($C298="","",IFERROR(INDEX(Employee_Master!$C$5:$C$104,MATCH($C298,Employee_Master!$A$5:$A$104,0)),"ID not found"))</f>
        <v/>
      </c>
      <c r="F298" s="37"/>
      <c r="G298" s="37"/>
      <c r="H298" s="37"/>
      <c r="I298" s="12"/>
      <c r="J298" s="37"/>
      <c r="K298" s="31" t="str">
        <f aca="false">IF(J298="","",IFERROR(INDEX(Reference_Data!$T$5:$T$14,MATCH(J298,Reference_Data!$S$5:$S$14,0)),0))</f>
        <v/>
      </c>
      <c r="L298" s="38"/>
      <c r="M298" s="38"/>
      <c r="N298" s="38"/>
      <c r="O298" s="37"/>
      <c r="P298" s="37"/>
      <c r="Q298" s="37"/>
      <c r="R298" s="38"/>
      <c r="S298" s="37"/>
      <c r="T298" s="31" t="n">
        <f aca="false">IF(OR(K298="",N298="",S298="Voided / Rescinded"),0,K298)</f>
        <v>0</v>
      </c>
      <c r="U298" s="12"/>
    </row>
    <row r="299" customFormat="false" ht="15" hidden="false" customHeight="false" outlineLevel="0" collapsed="false">
      <c r="A299" s="37"/>
      <c r="B299" s="38"/>
      <c r="C299" s="37"/>
      <c r="D299" s="31" t="str">
        <f aca="false">IF($C299="","",IFERROR(INDEX(Employee_Master!$B$5:$B$104,MATCH($C299,Employee_Master!$A$5:$A$104,0)),"ID not found"))</f>
        <v/>
      </c>
      <c r="E299" s="31" t="str">
        <f aca="false">IF($C299="","",IFERROR(INDEX(Employee_Master!$C$5:$C$104,MATCH($C299,Employee_Master!$A$5:$A$104,0)),"ID not found"))</f>
        <v/>
      </c>
      <c r="F299" s="37"/>
      <c r="G299" s="37"/>
      <c r="H299" s="37"/>
      <c r="I299" s="12"/>
      <c r="J299" s="37"/>
      <c r="K299" s="31" t="str">
        <f aca="false">IF(J299="","",IFERROR(INDEX(Reference_Data!$T$5:$T$14,MATCH(J299,Reference_Data!$S$5:$S$14,0)),0))</f>
        <v/>
      </c>
      <c r="L299" s="38"/>
      <c r="M299" s="38"/>
      <c r="N299" s="38"/>
      <c r="O299" s="37"/>
      <c r="P299" s="37"/>
      <c r="Q299" s="37"/>
      <c r="R299" s="38"/>
      <c r="S299" s="37"/>
      <c r="T299" s="31" t="n">
        <f aca="false">IF(OR(K299="",N299="",S299="Voided / Rescinded"),0,K299)</f>
        <v>0</v>
      </c>
      <c r="U299" s="12"/>
    </row>
    <row r="300" customFormat="false" ht="15" hidden="false" customHeight="false" outlineLevel="0" collapsed="false">
      <c r="A300" s="37"/>
      <c r="B300" s="38"/>
      <c r="C300" s="37"/>
      <c r="D300" s="31" t="str">
        <f aca="false">IF($C300="","",IFERROR(INDEX(Employee_Master!$B$5:$B$104,MATCH($C300,Employee_Master!$A$5:$A$104,0)),"ID not found"))</f>
        <v/>
      </c>
      <c r="E300" s="31" t="str">
        <f aca="false">IF($C300="","",IFERROR(INDEX(Employee_Master!$C$5:$C$104,MATCH($C300,Employee_Master!$A$5:$A$104,0)),"ID not found"))</f>
        <v/>
      </c>
      <c r="F300" s="37"/>
      <c r="G300" s="37"/>
      <c r="H300" s="37"/>
      <c r="I300" s="12"/>
      <c r="J300" s="37"/>
      <c r="K300" s="31" t="str">
        <f aca="false">IF(J300="","",IFERROR(INDEX(Reference_Data!$T$5:$T$14,MATCH(J300,Reference_Data!$S$5:$S$14,0)),0))</f>
        <v/>
      </c>
      <c r="L300" s="38"/>
      <c r="M300" s="38"/>
      <c r="N300" s="38"/>
      <c r="O300" s="37"/>
      <c r="P300" s="37"/>
      <c r="Q300" s="37"/>
      <c r="R300" s="38"/>
      <c r="S300" s="37"/>
      <c r="T300" s="31" t="n">
        <f aca="false">IF(OR(K300="",N300="",S300="Voided / Rescinded"),0,K300)</f>
        <v>0</v>
      </c>
      <c r="U300" s="12"/>
    </row>
    <row r="301" customFormat="false" ht="15" hidden="false" customHeight="false" outlineLevel="0" collapsed="false">
      <c r="A301" s="37"/>
      <c r="B301" s="38"/>
      <c r="C301" s="37"/>
      <c r="D301" s="31" t="str">
        <f aca="false">IF($C301="","",IFERROR(INDEX(Employee_Master!$B$5:$B$104,MATCH($C301,Employee_Master!$A$5:$A$104,0)),"ID not found"))</f>
        <v/>
      </c>
      <c r="E301" s="31" t="str">
        <f aca="false">IF($C301="","",IFERROR(INDEX(Employee_Master!$C$5:$C$104,MATCH($C301,Employee_Master!$A$5:$A$104,0)),"ID not found"))</f>
        <v/>
      </c>
      <c r="F301" s="37"/>
      <c r="G301" s="37"/>
      <c r="H301" s="37"/>
      <c r="I301" s="12"/>
      <c r="J301" s="37"/>
      <c r="K301" s="31" t="str">
        <f aca="false">IF(J301="","",IFERROR(INDEX(Reference_Data!$T$5:$T$14,MATCH(J301,Reference_Data!$S$5:$S$14,0)),0))</f>
        <v/>
      </c>
      <c r="L301" s="38"/>
      <c r="M301" s="38"/>
      <c r="N301" s="38"/>
      <c r="O301" s="37"/>
      <c r="P301" s="37"/>
      <c r="Q301" s="37"/>
      <c r="R301" s="38"/>
      <c r="S301" s="37"/>
      <c r="T301" s="31" t="n">
        <f aca="false">IF(OR(K301="",N301="",S301="Voided / Rescinded"),0,K301)</f>
        <v>0</v>
      </c>
      <c r="U301" s="12"/>
    </row>
    <row r="302" customFormat="false" ht="15" hidden="false" customHeight="false" outlineLevel="0" collapsed="false">
      <c r="A302" s="37"/>
      <c r="B302" s="38"/>
      <c r="C302" s="37"/>
      <c r="D302" s="31" t="str">
        <f aca="false">IF($C302="","",IFERROR(INDEX(Employee_Master!$B$5:$B$104,MATCH($C302,Employee_Master!$A$5:$A$104,0)),"ID not found"))</f>
        <v/>
      </c>
      <c r="E302" s="31" t="str">
        <f aca="false">IF($C302="","",IFERROR(INDEX(Employee_Master!$C$5:$C$104,MATCH($C302,Employee_Master!$A$5:$A$104,0)),"ID not found"))</f>
        <v/>
      </c>
      <c r="F302" s="37"/>
      <c r="G302" s="37"/>
      <c r="H302" s="37"/>
      <c r="I302" s="12"/>
      <c r="J302" s="37"/>
      <c r="K302" s="31" t="str">
        <f aca="false">IF(J302="","",IFERROR(INDEX(Reference_Data!$T$5:$T$14,MATCH(J302,Reference_Data!$S$5:$S$14,0)),0))</f>
        <v/>
      </c>
      <c r="L302" s="38"/>
      <c r="M302" s="38"/>
      <c r="N302" s="38"/>
      <c r="O302" s="37"/>
      <c r="P302" s="37"/>
      <c r="Q302" s="37"/>
      <c r="R302" s="38"/>
      <c r="S302" s="37"/>
      <c r="T302" s="31" t="n">
        <f aca="false">IF(OR(K302="",N302="",S302="Voided / Rescinded"),0,K302)</f>
        <v>0</v>
      </c>
      <c r="U302" s="12"/>
    </row>
    <row r="303" customFormat="false" ht="15" hidden="false" customHeight="false" outlineLevel="0" collapsed="false">
      <c r="A303" s="37"/>
      <c r="B303" s="38"/>
      <c r="C303" s="37"/>
      <c r="D303" s="31" t="str">
        <f aca="false">IF($C303="","",IFERROR(INDEX(Employee_Master!$B$5:$B$104,MATCH($C303,Employee_Master!$A$5:$A$104,0)),"ID not found"))</f>
        <v/>
      </c>
      <c r="E303" s="31" t="str">
        <f aca="false">IF($C303="","",IFERROR(INDEX(Employee_Master!$C$5:$C$104,MATCH($C303,Employee_Master!$A$5:$A$104,0)),"ID not found"))</f>
        <v/>
      </c>
      <c r="F303" s="37"/>
      <c r="G303" s="37"/>
      <c r="H303" s="37"/>
      <c r="I303" s="12"/>
      <c r="J303" s="37"/>
      <c r="K303" s="31" t="str">
        <f aca="false">IF(J303="","",IFERROR(INDEX(Reference_Data!$T$5:$T$14,MATCH(J303,Reference_Data!$S$5:$S$14,0)),0))</f>
        <v/>
      </c>
      <c r="L303" s="38"/>
      <c r="M303" s="38"/>
      <c r="N303" s="38"/>
      <c r="O303" s="37"/>
      <c r="P303" s="37"/>
      <c r="Q303" s="37"/>
      <c r="R303" s="38"/>
      <c r="S303" s="37"/>
      <c r="T303" s="31" t="n">
        <f aca="false">IF(OR(K303="",N303="",S303="Voided / Rescinded"),0,K303)</f>
        <v>0</v>
      </c>
      <c r="U303" s="12"/>
    </row>
    <row r="304" customFormat="false" ht="15" hidden="false" customHeight="false" outlineLevel="0" collapsed="false">
      <c r="A304" s="37"/>
      <c r="B304" s="38"/>
      <c r="C304" s="37"/>
      <c r="D304" s="31" t="str">
        <f aca="false">IF($C304="","",IFERROR(INDEX(Employee_Master!$B$5:$B$104,MATCH($C304,Employee_Master!$A$5:$A$104,0)),"ID not found"))</f>
        <v/>
      </c>
      <c r="E304" s="31" t="str">
        <f aca="false">IF($C304="","",IFERROR(INDEX(Employee_Master!$C$5:$C$104,MATCH($C304,Employee_Master!$A$5:$A$104,0)),"ID not found"))</f>
        <v/>
      </c>
      <c r="F304" s="37"/>
      <c r="G304" s="37"/>
      <c r="H304" s="37"/>
      <c r="I304" s="12"/>
      <c r="J304" s="37"/>
      <c r="K304" s="31" t="str">
        <f aca="false">IF(J304="","",IFERROR(INDEX(Reference_Data!$T$5:$T$14,MATCH(J304,Reference_Data!$S$5:$S$14,0)),0))</f>
        <v/>
      </c>
      <c r="L304" s="38"/>
      <c r="M304" s="38"/>
      <c r="N304" s="38"/>
      <c r="O304" s="37"/>
      <c r="P304" s="37"/>
      <c r="Q304" s="37"/>
      <c r="R304" s="38"/>
      <c r="S304" s="37"/>
      <c r="T304" s="31" t="n">
        <f aca="false">IF(OR(K304="",N304="",S304="Voided / Rescinded"),0,K304)</f>
        <v>0</v>
      </c>
      <c r="U304" s="12"/>
    </row>
  </sheetData>
  <autoFilter ref="A4:U304"/>
  <conditionalFormatting sqref="H5:H304">
    <cfRule type="cellIs" priority="2" operator="equal" aboveAverage="0" equalAverage="0" bottom="0" percent="0" rank="0" text="" dxfId="10">
      <formula>"Critical"</formula>
    </cfRule>
    <cfRule type="cellIs" priority="3" operator="equal" aboveAverage="0" equalAverage="0" bottom="0" percent="0" rank="0" text="" dxfId="11">
      <formula>"Major"</formula>
    </cfRule>
  </conditionalFormatting>
  <conditionalFormatting sqref="S5:S304">
    <cfRule type="cellIs" priority="4" operator="equal" aboveAverage="0" equalAverage="0" bottom="0" percent="0" rank="0" text="" dxfId="11">
      <formula>"Open"</formula>
    </cfRule>
  </conditionalFormatting>
  <dataValidations count="6">
    <dataValidation allowBlank="true" error="Select a value from the dropdown list." errorStyle="stop" errorTitle="Invalid entry" operator="between" showDropDown="false" showErrorMessage="true" showInputMessage="false" sqref="C5:C304" type="list">
      <formula1>List_EmployeeID</formula1>
      <formula2>0</formula2>
    </dataValidation>
    <dataValidation allowBlank="true" error="Select a value from the dropdown list." errorStyle="stop" errorTitle="Invalid entry" operator="between" showDropDown="false" showErrorMessage="true" showInputMessage="false" sqref="G5:G304" type="list">
      <formula1>List_Infraction</formula1>
      <formula2>0</formula2>
    </dataValidation>
    <dataValidation allowBlank="true" error="Select a value from the dropdown list." errorStyle="stop" errorTitle="Invalid entry" operator="between" showDropDown="false" showErrorMessage="true" showInputMessage="false" sqref="H5:H304" type="list">
      <formula1>List_Severity</formula1>
      <formula2>0</formula2>
    </dataValidation>
    <dataValidation allowBlank="true" error="Select a value from the dropdown list." errorStyle="stop" errorTitle="Invalid entry" operator="between" showDropDown="false" showErrorMessage="true" showInputMessage="false" sqref="J5:J304" type="list">
      <formula1>List_CorrectiveAction</formula1>
      <formula2>0</formula2>
    </dataValidation>
    <dataValidation allowBlank="true" error="Select a value from the dropdown list." errorStyle="stop" errorTitle="Invalid entry" operator="between" showDropDown="false" showErrorMessage="true" showInputMessage="false" sqref="P5:Q304" type="list">
      <formula1>List_YesNo</formula1>
      <formula2>0</formula2>
    </dataValidation>
    <dataValidation allowBlank="true" error="Select a value from the dropdown list." errorStyle="stop" errorTitle="Invalid entry" operator="between" showDropDown="false" showErrorMessage="true" showInputMessage="false" sqref="S5:S304" type="list">
      <formula1>List_ActionStatus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20"/>
    <col collapsed="false" customWidth="true" hidden="false" outlineLevel="0" max="4" min="4" style="0" width="26"/>
    <col collapsed="false" customWidth="true" hidden="false" outlineLevel="0" max="5" min="5" style="0" width="13"/>
    <col collapsed="false" customWidth="true" hidden="false" outlineLevel="0" max="6" min="6" style="0" width="22"/>
    <col collapsed="false" customWidth="true" hidden="false" outlineLevel="0" max="7" min="7" style="0" width="18"/>
    <col collapsed="false" customWidth="true" hidden="false" outlineLevel="0" max="8" min="8" style="0" width="14"/>
  </cols>
  <sheetData>
    <row r="1" customFormat="false" ht="17.35" hidden="false" customHeight="false" outlineLevel="0" collapsed="false">
      <c r="A1" s="14" t="s">
        <v>420</v>
      </c>
    </row>
    <row r="2" customFormat="false" ht="15" hidden="false" customHeight="false" outlineLevel="0" collapsed="false">
      <c r="A2" s="2" t="s">
        <v>421</v>
      </c>
    </row>
    <row r="3" customFormat="false" ht="15" hidden="false" customHeight="false" outlineLevel="0" collapsed="false">
      <c r="A3" s="35" t="s">
        <v>224</v>
      </c>
    </row>
    <row r="4" customFormat="false" ht="31.5" hidden="false" customHeight="true" outlineLevel="0" collapsed="false">
      <c r="A4" s="36" t="s">
        <v>215</v>
      </c>
      <c r="B4" s="36" t="s">
        <v>422</v>
      </c>
      <c r="C4" s="36" t="s">
        <v>192</v>
      </c>
      <c r="D4" s="36" t="s">
        <v>423</v>
      </c>
      <c r="E4" s="36" t="s">
        <v>424</v>
      </c>
      <c r="F4" s="36" t="s">
        <v>148</v>
      </c>
      <c r="G4" s="36" t="s">
        <v>143</v>
      </c>
      <c r="H4" s="36" t="s">
        <v>425</v>
      </c>
    </row>
    <row r="5" customFormat="false" ht="15" hidden="false" customHeight="false" outlineLevel="0" collapsed="false">
      <c r="A5" s="37" t="s">
        <v>243</v>
      </c>
      <c r="B5" s="37" t="s">
        <v>426</v>
      </c>
      <c r="C5" s="37" t="s">
        <v>344</v>
      </c>
      <c r="D5" s="37" t="s">
        <v>427</v>
      </c>
      <c r="E5" s="38" t="n">
        <v>44634</v>
      </c>
      <c r="F5" s="37" t="s">
        <v>331</v>
      </c>
      <c r="G5" s="37" t="s">
        <v>248</v>
      </c>
      <c r="H5" s="37" t="s">
        <v>428</v>
      </c>
    </row>
    <row r="6" customFormat="false" ht="15" hidden="false" customHeight="false" outlineLevel="0" collapsed="false">
      <c r="A6" s="37" t="s">
        <v>250</v>
      </c>
      <c r="B6" s="37" t="s">
        <v>429</v>
      </c>
      <c r="C6" s="37" t="s">
        <v>344</v>
      </c>
      <c r="D6" s="37" t="s">
        <v>430</v>
      </c>
      <c r="E6" s="38" t="n">
        <v>45446</v>
      </c>
      <c r="F6" s="37" t="s">
        <v>331</v>
      </c>
      <c r="G6" s="37" t="s">
        <v>248</v>
      </c>
      <c r="H6" s="37" t="s">
        <v>428</v>
      </c>
    </row>
    <row r="7" customFormat="false" ht="15" hidden="false" customHeight="false" outlineLevel="0" collapsed="false">
      <c r="A7" s="37" t="s">
        <v>253</v>
      </c>
      <c r="B7" s="37" t="s">
        <v>431</v>
      </c>
      <c r="C7" s="37" t="s">
        <v>336</v>
      </c>
      <c r="D7" s="37" t="s">
        <v>432</v>
      </c>
      <c r="E7" s="38" t="n">
        <v>44935</v>
      </c>
      <c r="F7" s="37" t="s">
        <v>340</v>
      </c>
      <c r="G7" s="37" t="s">
        <v>255</v>
      </c>
      <c r="H7" s="37" t="s">
        <v>428</v>
      </c>
    </row>
    <row r="8" customFormat="false" ht="15" hidden="false" customHeight="false" outlineLevel="0" collapsed="false">
      <c r="A8" s="37" t="s">
        <v>272</v>
      </c>
      <c r="B8" s="37" t="s">
        <v>433</v>
      </c>
      <c r="C8" s="37" t="s">
        <v>336</v>
      </c>
      <c r="D8" s="37" t="s">
        <v>432</v>
      </c>
      <c r="E8" s="38" t="n">
        <v>45159</v>
      </c>
      <c r="F8" s="37" t="s">
        <v>340</v>
      </c>
      <c r="G8" s="37" t="s">
        <v>255</v>
      </c>
      <c r="H8" s="37" t="s">
        <v>428</v>
      </c>
    </row>
    <row r="9" customFormat="false" ht="15" hidden="false" customHeight="false" outlineLevel="0" collapsed="false">
      <c r="A9" s="37" t="s">
        <v>258</v>
      </c>
      <c r="B9" s="37" t="s">
        <v>434</v>
      </c>
      <c r="C9" s="37" t="s">
        <v>371</v>
      </c>
      <c r="D9" s="37" t="s">
        <v>435</v>
      </c>
      <c r="E9" s="38" t="n">
        <v>44872</v>
      </c>
      <c r="F9" s="37" t="s">
        <v>340</v>
      </c>
      <c r="G9" s="37" t="s">
        <v>255</v>
      </c>
      <c r="H9" s="37" t="s">
        <v>428</v>
      </c>
    </row>
    <row r="10" customFormat="false" ht="15" hidden="false" customHeight="false" outlineLevel="0" collapsed="false">
      <c r="A10" s="37" t="s">
        <v>261</v>
      </c>
      <c r="B10" s="37" t="s">
        <v>436</v>
      </c>
      <c r="C10" s="37" t="s">
        <v>371</v>
      </c>
      <c r="D10" s="37" t="s">
        <v>437</v>
      </c>
      <c r="E10" s="38" t="n">
        <v>45705</v>
      </c>
      <c r="F10" s="37" t="s">
        <v>340</v>
      </c>
      <c r="G10" s="37" t="s">
        <v>255</v>
      </c>
      <c r="H10" s="37" t="s">
        <v>428</v>
      </c>
    </row>
    <row r="11" customFormat="false" ht="15" hidden="false" customHeight="false" outlineLevel="0" collapsed="false">
      <c r="A11" s="37" t="s">
        <v>263</v>
      </c>
      <c r="B11" s="37" t="s">
        <v>438</v>
      </c>
      <c r="C11" s="37" t="s">
        <v>328</v>
      </c>
      <c r="D11" s="37" t="s">
        <v>439</v>
      </c>
      <c r="E11" s="38" t="n">
        <v>44326</v>
      </c>
      <c r="F11" s="37" t="s">
        <v>331</v>
      </c>
      <c r="G11" s="37" t="s">
        <v>248</v>
      </c>
      <c r="H11" s="37" t="s">
        <v>428</v>
      </c>
    </row>
    <row r="12" customFormat="false" ht="15" hidden="false" customHeight="false" outlineLevel="0" collapsed="false">
      <c r="A12" s="37" t="s">
        <v>268</v>
      </c>
      <c r="B12" s="37" t="s">
        <v>440</v>
      </c>
      <c r="C12" s="37" t="s">
        <v>328</v>
      </c>
      <c r="D12" s="37" t="s">
        <v>441</v>
      </c>
      <c r="E12" s="38" t="n">
        <v>44075</v>
      </c>
      <c r="F12" s="37" t="s">
        <v>331</v>
      </c>
      <c r="G12" s="37" t="s">
        <v>248</v>
      </c>
      <c r="H12" s="37" t="s">
        <v>428</v>
      </c>
    </row>
    <row r="13" customFormat="false" ht="15" hidden="false" customHeight="false" outlineLevel="0" collapsed="false">
      <c r="A13" s="37" t="s">
        <v>359</v>
      </c>
      <c r="B13" s="37" t="s">
        <v>442</v>
      </c>
      <c r="C13" s="37" t="s">
        <v>443</v>
      </c>
      <c r="D13" s="37" t="s">
        <v>444</v>
      </c>
      <c r="E13" s="38" t="n">
        <v>45306</v>
      </c>
      <c r="F13" s="37" t="s">
        <v>340</v>
      </c>
      <c r="G13" s="37" t="s">
        <v>255</v>
      </c>
      <c r="H13" s="37" t="s">
        <v>428</v>
      </c>
    </row>
    <row r="14" customFormat="false" ht="15" hidden="false" customHeight="false" outlineLevel="0" collapsed="false">
      <c r="A14" s="37" t="s">
        <v>270</v>
      </c>
      <c r="B14" s="37" t="s">
        <v>445</v>
      </c>
      <c r="C14" s="37" t="s">
        <v>344</v>
      </c>
      <c r="D14" s="37" t="s">
        <v>430</v>
      </c>
      <c r="E14" s="38" t="n">
        <v>45845</v>
      </c>
      <c r="F14" s="37" t="s">
        <v>331</v>
      </c>
      <c r="G14" s="37" t="s">
        <v>248</v>
      </c>
      <c r="H14" s="37" t="s">
        <v>428</v>
      </c>
    </row>
    <row r="15" customFormat="false" ht="15" hidden="false" customHeight="false" outlineLevel="0" collapsed="false">
      <c r="A15" s="37"/>
      <c r="B15" s="37"/>
      <c r="C15" s="37"/>
      <c r="D15" s="37"/>
      <c r="E15" s="38"/>
      <c r="F15" s="37"/>
      <c r="G15" s="37"/>
      <c r="H15" s="37"/>
    </row>
    <row r="16" customFormat="false" ht="15" hidden="false" customHeight="false" outlineLevel="0" collapsed="false">
      <c r="A16" s="37"/>
      <c r="B16" s="37"/>
      <c r="C16" s="37"/>
      <c r="D16" s="37"/>
      <c r="E16" s="38"/>
      <c r="F16" s="37"/>
      <c r="G16" s="37"/>
      <c r="H16" s="37"/>
    </row>
    <row r="17" customFormat="false" ht="15" hidden="false" customHeight="false" outlineLevel="0" collapsed="false">
      <c r="A17" s="37"/>
      <c r="B17" s="37"/>
      <c r="C17" s="37"/>
      <c r="D17" s="37"/>
      <c r="E17" s="38"/>
      <c r="F17" s="37"/>
      <c r="G17" s="37"/>
      <c r="H17" s="37"/>
    </row>
    <row r="18" customFormat="false" ht="15" hidden="false" customHeight="false" outlineLevel="0" collapsed="false">
      <c r="A18" s="37"/>
      <c r="B18" s="37"/>
      <c r="C18" s="37"/>
      <c r="D18" s="37"/>
      <c r="E18" s="38"/>
      <c r="F18" s="37"/>
      <c r="G18" s="37"/>
      <c r="H18" s="37"/>
    </row>
    <row r="19" customFormat="false" ht="15" hidden="false" customHeight="false" outlineLevel="0" collapsed="false">
      <c r="A19" s="37"/>
      <c r="B19" s="37"/>
      <c r="C19" s="37"/>
      <c r="D19" s="37"/>
      <c r="E19" s="38"/>
      <c r="F19" s="37"/>
      <c r="G19" s="37"/>
      <c r="H19" s="37"/>
    </row>
    <row r="20" customFormat="false" ht="15" hidden="false" customHeight="false" outlineLevel="0" collapsed="false">
      <c r="A20" s="37"/>
      <c r="B20" s="37"/>
      <c r="C20" s="37"/>
      <c r="D20" s="37"/>
      <c r="E20" s="38"/>
      <c r="F20" s="37"/>
      <c r="G20" s="37"/>
      <c r="H20" s="37"/>
    </row>
    <row r="21" customFormat="false" ht="15" hidden="false" customHeight="false" outlineLevel="0" collapsed="false">
      <c r="A21" s="37"/>
      <c r="B21" s="37"/>
      <c r="C21" s="37"/>
      <c r="D21" s="37"/>
      <c r="E21" s="38"/>
      <c r="F21" s="37"/>
      <c r="G21" s="37"/>
      <c r="H21" s="37"/>
    </row>
    <row r="22" customFormat="false" ht="15" hidden="false" customHeight="false" outlineLevel="0" collapsed="false">
      <c r="A22" s="37"/>
      <c r="B22" s="37"/>
      <c r="C22" s="37"/>
      <c r="D22" s="37"/>
      <c r="E22" s="38"/>
      <c r="F22" s="37"/>
      <c r="G22" s="37"/>
      <c r="H22" s="37"/>
    </row>
    <row r="23" customFormat="false" ht="15" hidden="false" customHeight="false" outlineLevel="0" collapsed="false">
      <c r="A23" s="37"/>
      <c r="B23" s="37"/>
      <c r="C23" s="37"/>
      <c r="D23" s="37"/>
      <c r="E23" s="38"/>
      <c r="F23" s="37"/>
      <c r="G23" s="37"/>
      <c r="H23" s="37"/>
    </row>
    <row r="24" customFormat="false" ht="15" hidden="false" customHeight="false" outlineLevel="0" collapsed="false">
      <c r="A24" s="37"/>
      <c r="B24" s="37"/>
      <c r="C24" s="37"/>
      <c r="D24" s="37"/>
      <c r="E24" s="38"/>
      <c r="F24" s="37"/>
      <c r="G24" s="37"/>
      <c r="H24" s="37"/>
    </row>
    <row r="25" customFormat="false" ht="15" hidden="false" customHeight="false" outlineLevel="0" collapsed="false">
      <c r="A25" s="37"/>
      <c r="B25" s="37"/>
      <c r="C25" s="37"/>
      <c r="D25" s="37"/>
      <c r="E25" s="38"/>
      <c r="F25" s="37"/>
      <c r="G25" s="37"/>
      <c r="H25" s="37"/>
    </row>
    <row r="26" customFormat="false" ht="15" hidden="false" customHeight="false" outlineLevel="0" collapsed="false">
      <c r="A26" s="37"/>
      <c r="B26" s="37"/>
      <c r="C26" s="37"/>
      <c r="D26" s="37"/>
      <c r="E26" s="38"/>
      <c r="F26" s="37"/>
      <c r="G26" s="37"/>
      <c r="H26" s="37"/>
    </row>
    <row r="27" customFormat="false" ht="15" hidden="false" customHeight="false" outlineLevel="0" collapsed="false">
      <c r="A27" s="37"/>
      <c r="B27" s="37"/>
      <c r="C27" s="37"/>
      <c r="D27" s="37"/>
      <c r="E27" s="38"/>
      <c r="F27" s="37"/>
      <c r="G27" s="37"/>
      <c r="H27" s="37"/>
    </row>
    <row r="28" customFormat="false" ht="15" hidden="false" customHeight="false" outlineLevel="0" collapsed="false">
      <c r="A28" s="37"/>
      <c r="B28" s="37"/>
      <c r="C28" s="37"/>
      <c r="D28" s="37"/>
      <c r="E28" s="38"/>
      <c r="F28" s="37"/>
      <c r="G28" s="37"/>
      <c r="H28" s="37"/>
    </row>
    <row r="29" customFormat="false" ht="15" hidden="false" customHeight="false" outlineLevel="0" collapsed="false">
      <c r="A29" s="37"/>
      <c r="B29" s="37"/>
      <c r="C29" s="37"/>
      <c r="D29" s="37"/>
      <c r="E29" s="38"/>
      <c r="F29" s="37"/>
      <c r="G29" s="37"/>
      <c r="H29" s="37"/>
    </row>
    <row r="30" customFormat="false" ht="15" hidden="false" customHeight="false" outlineLevel="0" collapsed="false">
      <c r="A30" s="37"/>
      <c r="B30" s="37"/>
      <c r="C30" s="37"/>
      <c r="D30" s="37"/>
      <c r="E30" s="38"/>
      <c r="F30" s="37"/>
      <c r="G30" s="37"/>
      <c r="H30" s="37"/>
    </row>
    <row r="31" customFormat="false" ht="15" hidden="false" customHeight="false" outlineLevel="0" collapsed="false">
      <c r="A31" s="37"/>
      <c r="B31" s="37"/>
      <c r="C31" s="37"/>
      <c r="D31" s="37"/>
      <c r="E31" s="38"/>
      <c r="F31" s="37"/>
      <c r="G31" s="37"/>
      <c r="H31" s="37"/>
    </row>
    <row r="32" customFormat="false" ht="15" hidden="false" customHeight="false" outlineLevel="0" collapsed="false">
      <c r="A32" s="37"/>
      <c r="B32" s="37"/>
      <c r="C32" s="37"/>
      <c r="D32" s="37"/>
      <c r="E32" s="38"/>
      <c r="F32" s="37"/>
      <c r="G32" s="37"/>
      <c r="H32" s="37"/>
    </row>
    <row r="33" customFormat="false" ht="15" hidden="false" customHeight="false" outlineLevel="0" collapsed="false">
      <c r="A33" s="37"/>
      <c r="B33" s="37"/>
      <c r="C33" s="37"/>
      <c r="D33" s="37"/>
      <c r="E33" s="38"/>
      <c r="F33" s="37"/>
      <c r="G33" s="37"/>
      <c r="H33" s="37"/>
    </row>
    <row r="34" customFormat="false" ht="15" hidden="false" customHeight="false" outlineLevel="0" collapsed="false">
      <c r="A34" s="37"/>
      <c r="B34" s="37"/>
      <c r="C34" s="37"/>
      <c r="D34" s="37"/>
      <c r="E34" s="38"/>
      <c r="F34" s="37"/>
      <c r="G34" s="37"/>
      <c r="H34" s="37"/>
    </row>
    <row r="35" customFormat="false" ht="15" hidden="false" customHeight="false" outlineLevel="0" collapsed="false">
      <c r="A35" s="37"/>
      <c r="B35" s="37"/>
      <c r="C35" s="37"/>
      <c r="D35" s="37"/>
      <c r="E35" s="38"/>
      <c r="F35" s="37"/>
      <c r="G35" s="37"/>
      <c r="H35" s="37"/>
    </row>
    <row r="36" customFormat="false" ht="15" hidden="false" customHeight="false" outlineLevel="0" collapsed="false">
      <c r="A36" s="37"/>
      <c r="B36" s="37"/>
      <c r="C36" s="37"/>
      <c r="D36" s="37"/>
      <c r="E36" s="38"/>
      <c r="F36" s="37"/>
      <c r="G36" s="37"/>
      <c r="H36" s="37"/>
    </row>
    <row r="37" customFormat="false" ht="15" hidden="false" customHeight="false" outlineLevel="0" collapsed="false">
      <c r="A37" s="37"/>
      <c r="B37" s="37"/>
      <c r="C37" s="37"/>
      <c r="D37" s="37"/>
      <c r="E37" s="38"/>
      <c r="F37" s="37"/>
      <c r="G37" s="37"/>
      <c r="H37" s="37"/>
    </row>
    <row r="38" customFormat="false" ht="15" hidden="false" customHeight="false" outlineLevel="0" collapsed="false">
      <c r="A38" s="37"/>
      <c r="B38" s="37"/>
      <c r="C38" s="37"/>
      <c r="D38" s="37"/>
      <c r="E38" s="38"/>
      <c r="F38" s="37"/>
      <c r="G38" s="37"/>
      <c r="H38" s="37"/>
    </row>
    <row r="39" customFormat="false" ht="15" hidden="false" customHeight="false" outlineLevel="0" collapsed="false">
      <c r="A39" s="37"/>
      <c r="B39" s="37"/>
      <c r="C39" s="37"/>
      <c r="D39" s="37"/>
      <c r="E39" s="38"/>
      <c r="F39" s="37"/>
      <c r="G39" s="37"/>
      <c r="H39" s="37"/>
    </row>
    <row r="40" customFormat="false" ht="15" hidden="false" customHeight="false" outlineLevel="0" collapsed="false">
      <c r="A40" s="37"/>
      <c r="B40" s="37"/>
      <c r="C40" s="37"/>
      <c r="D40" s="37"/>
      <c r="E40" s="38"/>
      <c r="F40" s="37"/>
      <c r="G40" s="37"/>
      <c r="H40" s="37"/>
    </row>
    <row r="41" customFormat="false" ht="15" hidden="false" customHeight="false" outlineLevel="0" collapsed="false">
      <c r="A41" s="37"/>
      <c r="B41" s="37"/>
      <c r="C41" s="37"/>
      <c r="D41" s="37"/>
      <c r="E41" s="38"/>
      <c r="F41" s="37"/>
      <c r="G41" s="37"/>
      <c r="H41" s="37"/>
    </row>
    <row r="42" customFormat="false" ht="15" hidden="false" customHeight="false" outlineLevel="0" collapsed="false">
      <c r="A42" s="37"/>
      <c r="B42" s="37"/>
      <c r="C42" s="37"/>
      <c r="D42" s="37"/>
      <c r="E42" s="38"/>
      <c r="F42" s="37"/>
      <c r="G42" s="37"/>
      <c r="H42" s="37"/>
    </row>
    <row r="43" customFormat="false" ht="15" hidden="false" customHeight="false" outlineLevel="0" collapsed="false">
      <c r="A43" s="37"/>
      <c r="B43" s="37"/>
      <c r="C43" s="37"/>
      <c r="D43" s="37"/>
      <c r="E43" s="38"/>
      <c r="F43" s="37"/>
      <c r="G43" s="37"/>
      <c r="H43" s="37"/>
    </row>
    <row r="44" customFormat="false" ht="15" hidden="false" customHeight="false" outlineLevel="0" collapsed="false">
      <c r="A44" s="37"/>
      <c r="B44" s="37"/>
      <c r="C44" s="37"/>
      <c r="D44" s="37"/>
      <c r="E44" s="38"/>
      <c r="F44" s="37"/>
      <c r="G44" s="37"/>
      <c r="H44" s="37"/>
    </row>
    <row r="45" customFormat="false" ht="15" hidden="false" customHeight="false" outlineLevel="0" collapsed="false">
      <c r="A45" s="37"/>
      <c r="B45" s="37"/>
      <c r="C45" s="37"/>
      <c r="D45" s="37"/>
      <c r="E45" s="38"/>
      <c r="F45" s="37"/>
      <c r="G45" s="37"/>
      <c r="H45" s="37"/>
    </row>
    <row r="46" customFormat="false" ht="15" hidden="false" customHeight="false" outlineLevel="0" collapsed="false">
      <c r="A46" s="37"/>
      <c r="B46" s="37"/>
      <c r="C46" s="37"/>
      <c r="D46" s="37"/>
      <c r="E46" s="38"/>
      <c r="F46" s="37"/>
      <c r="G46" s="37"/>
      <c r="H46" s="37"/>
    </row>
    <row r="47" customFormat="false" ht="15" hidden="false" customHeight="false" outlineLevel="0" collapsed="false">
      <c r="A47" s="37"/>
      <c r="B47" s="37"/>
      <c r="C47" s="37"/>
      <c r="D47" s="37"/>
      <c r="E47" s="38"/>
      <c r="F47" s="37"/>
      <c r="G47" s="37"/>
      <c r="H47" s="37"/>
    </row>
    <row r="48" customFormat="false" ht="15" hidden="false" customHeight="false" outlineLevel="0" collapsed="false">
      <c r="A48" s="37"/>
      <c r="B48" s="37"/>
      <c r="C48" s="37"/>
      <c r="D48" s="37"/>
      <c r="E48" s="38"/>
      <c r="F48" s="37"/>
      <c r="G48" s="37"/>
      <c r="H48" s="37"/>
    </row>
    <row r="49" customFormat="false" ht="15" hidden="false" customHeight="false" outlineLevel="0" collapsed="false">
      <c r="A49" s="37"/>
      <c r="B49" s="37"/>
      <c r="C49" s="37"/>
      <c r="D49" s="37"/>
      <c r="E49" s="38"/>
      <c r="F49" s="37"/>
      <c r="G49" s="37"/>
      <c r="H49" s="37"/>
    </row>
    <row r="50" customFormat="false" ht="15" hidden="false" customHeight="false" outlineLevel="0" collapsed="false">
      <c r="A50" s="37"/>
      <c r="B50" s="37"/>
      <c r="C50" s="37"/>
      <c r="D50" s="37"/>
      <c r="E50" s="38"/>
      <c r="F50" s="37"/>
      <c r="G50" s="37"/>
      <c r="H50" s="37"/>
    </row>
    <row r="51" customFormat="false" ht="15" hidden="false" customHeight="false" outlineLevel="0" collapsed="false">
      <c r="A51" s="37"/>
      <c r="B51" s="37"/>
      <c r="C51" s="37"/>
      <c r="D51" s="37"/>
      <c r="E51" s="38"/>
      <c r="F51" s="37"/>
      <c r="G51" s="37"/>
      <c r="H51" s="37"/>
    </row>
    <row r="52" customFormat="false" ht="15" hidden="false" customHeight="false" outlineLevel="0" collapsed="false">
      <c r="A52" s="37"/>
      <c r="B52" s="37"/>
      <c r="C52" s="37"/>
      <c r="D52" s="37"/>
      <c r="E52" s="38"/>
      <c r="F52" s="37"/>
      <c r="G52" s="37"/>
      <c r="H52" s="37"/>
    </row>
    <row r="53" customFormat="false" ht="15" hidden="false" customHeight="false" outlineLevel="0" collapsed="false">
      <c r="A53" s="37"/>
      <c r="B53" s="37"/>
      <c r="C53" s="37"/>
      <c r="D53" s="37"/>
      <c r="E53" s="38"/>
      <c r="F53" s="37"/>
      <c r="G53" s="37"/>
      <c r="H53" s="37"/>
    </row>
    <row r="54" customFormat="false" ht="15" hidden="false" customHeight="false" outlineLevel="0" collapsed="false">
      <c r="A54" s="37"/>
      <c r="B54" s="37"/>
      <c r="C54" s="37"/>
      <c r="D54" s="37"/>
      <c r="E54" s="38"/>
      <c r="F54" s="37"/>
      <c r="G54" s="37"/>
      <c r="H54" s="37"/>
    </row>
    <row r="55" customFormat="false" ht="15" hidden="false" customHeight="false" outlineLevel="0" collapsed="false">
      <c r="A55" s="37"/>
      <c r="B55" s="37"/>
      <c r="C55" s="37"/>
      <c r="D55" s="37"/>
      <c r="E55" s="38"/>
      <c r="F55" s="37"/>
      <c r="G55" s="37"/>
      <c r="H55" s="37"/>
    </row>
    <row r="56" customFormat="false" ht="15" hidden="false" customHeight="false" outlineLevel="0" collapsed="false">
      <c r="A56" s="37"/>
      <c r="B56" s="37"/>
      <c r="C56" s="37"/>
      <c r="D56" s="37"/>
      <c r="E56" s="38"/>
      <c r="F56" s="37"/>
      <c r="G56" s="37"/>
      <c r="H56" s="37"/>
    </row>
    <row r="57" customFormat="false" ht="15" hidden="false" customHeight="false" outlineLevel="0" collapsed="false">
      <c r="A57" s="37"/>
      <c r="B57" s="37"/>
      <c r="C57" s="37"/>
      <c r="D57" s="37"/>
      <c r="E57" s="38"/>
      <c r="F57" s="37"/>
      <c r="G57" s="37"/>
      <c r="H57" s="37"/>
    </row>
    <row r="58" customFormat="false" ht="15" hidden="false" customHeight="false" outlineLevel="0" collapsed="false">
      <c r="A58" s="37"/>
      <c r="B58" s="37"/>
      <c r="C58" s="37"/>
      <c r="D58" s="37"/>
      <c r="E58" s="38"/>
      <c r="F58" s="37"/>
      <c r="G58" s="37"/>
      <c r="H58" s="37"/>
    </row>
    <row r="59" customFormat="false" ht="15" hidden="false" customHeight="false" outlineLevel="0" collapsed="false">
      <c r="A59" s="37"/>
      <c r="B59" s="37"/>
      <c r="C59" s="37"/>
      <c r="D59" s="37"/>
      <c r="E59" s="38"/>
      <c r="F59" s="37"/>
      <c r="G59" s="37"/>
      <c r="H59" s="37"/>
    </row>
    <row r="60" customFormat="false" ht="15" hidden="false" customHeight="false" outlineLevel="0" collapsed="false">
      <c r="A60" s="37"/>
      <c r="B60" s="37"/>
      <c r="C60" s="37"/>
      <c r="D60" s="37"/>
      <c r="E60" s="38"/>
      <c r="F60" s="37"/>
      <c r="G60" s="37"/>
      <c r="H60" s="37"/>
    </row>
    <row r="61" customFormat="false" ht="15" hidden="false" customHeight="false" outlineLevel="0" collapsed="false">
      <c r="A61" s="37"/>
      <c r="B61" s="37"/>
      <c r="C61" s="37"/>
      <c r="D61" s="37"/>
      <c r="E61" s="38"/>
      <c r="F61" s="37"/>
      <c r="G61" s="37"/>
      <c r="H61" s="37"/>
    </row>
    <row r="62" customFormat="false" ht="15" hidden="false" customHeight="false" outlineLevel="0" collapsed="false">
      <c r="A62" s="37"/>
      <c r="B62" s="37"/>
      <c r="C62" s="37"/>
      <c r="D62" s="37"/>
      <c r="E62" s="38"/>
      <c r="F62" s="37"/>
      <c r="G62" s="37"/>
      <c r="H62" s="37"/>
    </row>
    <row r="63" customFormat="false" ht="15" hidden="false" customHeight="false" outlineLevel="0" collapsed="false">
      <c r="A63" s="37"/>
      <c r="B63" s="37"/>
      <c r="C63" s="37"/>
      <c r="D63" s="37"/>
      <c r="E63" s="38"/>
      <c r="F63" s="37"/>
      <c r="G63" s="37"/>
      <c r="H63" s="37"/>
    </row>
    <row r="64" customFormat="false" ht="15" hidden="false" customHeight="false" outlineLevel="0" collapsed="false">
      <c r="A64" s="37"/>
      <c r="B64" s="37"/>
      <c r="C64" s="37"/>
      <c r="D64" s="37"/>
      <c r="E64" s="38"/>
      <c r="F64" s="37"/>
      <c r="G64" s="37"/>
      <c r="H64" s="37"/>
    </row>
    <row r="65" customFormat="false" ht="15" hidden="false" customHeight="false" outlineLevel="0" collapsed="false">
      <c r="A65" s="37"/>
      <c r="B65" s="37"/>
      <c r="C65" s="37"/>
      <c r="D65" s="37"/>
      <c r="E65" s="38"/>
      <c r="F65" s="37"/>
      <c r="G65" s="37"/>
      <c r="H65" s="37"/>
    </row>
    <row r="66" customFormat="false" ht="15" hidden="false" customHeight="false" outlineLevel="0" collapsed="false">
      <c r="A66" s="37"/>
      <c r="B66" s="37"/>
      <c r="C66" s="37"/>
      <c r="D66" s="37"/>
      <c r="E66" s="38"/>
      <c r="F66" s="37"/>
      <c r="G66" s="37"/>
      <c r="H66" s="37"/>
    </row>
    <row r="67" customFormat="false" ht="15" hidden="false" customHeight="false" outlineLevel="0" collapsed="false">
      <c r="A67" s="37"/>
      <c r="B67" s="37"/>
      <c r="C67" s="37"/>
      <c r="D67" s="37"/>
      <c r="E67" s="38"/>
      <c r="F67" s="37"/>
      <c r="G67" s="37"/>
      <c r="H67" s="37"/>
    </row>
    <row r="68" customFormat="false" ht="15" hidden="false" customHeight="false" outlineLevel="0" collapsed="false">
      <c r="A68" s="37"/>
      <c r="B68" s="37"/>
      <c r="C68" s="37"/>
      <c r="D68" s="37"/>
      <c r="E68" s="38"/>
      <c r="F68" s="37"/>
      <c r="G68" s="37"/>
      <c r="H68" s="37"/>
    </row>
    <row r="69" customFormat="false" ht="15" hidden="false" customHeight="false" outlineLevel="0" collapsed="false">
      <c r="A69" s="37"/>
      <c r="B69" s="37"/>
      <c r="C69" s="37"/>
      <c r="D69" s="37"/>
      <c r="E69" s="38"/>
      <c r="F69" s="37"/>
      <c r="G69" s="37"/>
      <c r="H69" s="37"/>
    </row>
    <row r="70" customFormat="false" ht="15" hidden="false" customHeight="false" outlineLevel="0" collapsed="false">
      <c r="A70" s="37"/>
      <c r="B70" s="37"/>
      <c r="C70" s="37"/>
      <c r="D70" s="37"/>
      <c r="E70" s="38"/>
      <c r="F70" s="37"/>
      <c r="G70" s="37"/>
      <c r="H70" s="37"/>
    </row>
    <row r="71" customFormat="false" ht="15" hidden="false" customHeight="false" outlineLevel="0" collapsed="false">
      <c r="A71" s="37"/>
      <c r="B71" s="37"/>
      <c r="C71" s="37"/>
      <c r="D71" s="37"/>
      <c r="E71" s="38"/>
      <c r="F71" s="37"/>
      <c r="G71" s="37"/>
      <c r="H71" s="37"/>
    </row>
    <row r="72" customFormat="false" ht="15" hidden="false" customHeight="false" outlineLevel="0" collapsed="false">
      <c r="A72" s="37"/>
      <c r="B72" s="37"/>
      <c r="C72" s="37"/>
      <c r="D72" s="37"/>
      <c r="E72" s="38"/>
      <c r="F72" s="37"/>
      <c r="G72" s="37"/>
      <c r="H72" s="37"/>
    </row>
    <row r="73" customFormat="false" ht="15" hidden="false" customHeight="false" outlineLevel="0" collapsed="false">
      <c r="A73" s="37"/>
      <c r="B73" s="37"/>
      <c r="C73" s="37"/>
      <c r="D73" s="37"/>
      <c r="E73" s="38"/>
      <c r="F73" s="37"/>
      <c r="G73" s="37"/>
      <c r="H73" s="37"/>
    </row>
    <row r="74" customFormat="false" ht="15" hidden="false" customHeight="false" outlineLevel="0" collapsed="false">
      <c r="A74" s="37"/>
      <c r="B74" s="37"/>
      <c r="C74" s="37"/>
      <c r="D74" s="37"/>
      <c r="E74" s="38"/>
      <c r="F74" s="37"/>
      <c r="G74" s="37"/>
      <c r="H74" s="37"/>
    </row>
    <row r="75" customFormat="false" ht="15" hidden="false" customHeight="false" outlineLevel="0" collapsed="false">
      <c r="A75" s="37"/>
      <c r="B75" s="37"/>
      <c r="C75" s="37"/>
      <c r="D75" s="37"/>
      <c r="E75" s="38"/>
      <c r="F75" s="37"/>
      <c r="G75" s="37"/>
      <c r="H75" s="37"/>
    </row>
    <row r="76" customFormat="false" ht="15" hidden="false" customHeight="false" outlineLevel="0" collapsed="false">
      <c r="A76" s="37"/>
      <c r="B76" s="37"/>
      <c r="C76" s="37"/>
      <c r="D76" s="37"/>
      <c r="E76" s="38"/>
      <c r="F76" s="37"/>
      <c r="G76" s="37"/>
      <c r="H76" s="37"/>
    </row>
    <row r="77" customFormat="false" ht="15" hidden="false" customHeight="false" outlineLevel="0" collapsed="false">
      <c r="A77" s="37"/>
      <c r="B77" s="37"/>
      <c r="C77" s="37"/>
      <c r="D77" s="37"/>
      <c r="E77" s="38"/>
      <c r="F77" s="37"/>
      <c r="G77" s="37"/>
      <c r="H77" s="37"/>
    </row>
    <row r="78" customFormat="false" ht="15" hidden="false" customHeight="false" outlineLevel="0" collapsed="false">
      <c r="A78" s="37"/>
      <c r="B78" s="37"/>
      <c r="C78" s="37"/>
      <c r="D78" s="37"/>
      <c r="E78" s="38"/>
      <c r="F78" s="37"/>
      <c r="G78" s="37"/>
      <c r="H78" s="37"/>
    </row>
    <row r="79" customFormat="false" ht="15" hidden="false" customHeight="false" outlineLevel="0" collapsed="false">
      <c r="A79" s="37"/>
      <c r="B79" s="37"/>
      <c r="C79" s="37"/>
      <c r="D79" s="37"/>
      <c r="E79" s="38"/>
      <c r="F79" s="37"/>
      <c r="G79" s="37"/>
      <c r="H79" s="37"/>
    </row>
    <row r="80" customFormat="false" ht="15" hidden="false" customHeight="false" outlineLevel="0" collapsed="false">
      <c r="A80" s="37"/>
      <c r="B80" s="37"/>
      <c r="C80" s="37"/>
      <c r="D80" s="37"/>
      <c r="E80" s="38"/>
      <c r="F80" s="37"/>
      <c r="G80" s="37"/>
      <c r="H80" s="37"/>
    </row>
    <row r="81" customFormat="false" ht="15" hidden="false" customHeight="false" outlineLevel="0" collapsed="false">
      <c r="A81" s="37"/>
      <c r="B81" s="37"/>
      <c r="C81" s="37"/>
      <c r="D81" s="37"/>
      <c r="E81" s="38"/>
      <c r="F81" s="37"/>
      <c r="G81" s="37"/>
      <c r="H81" s="37"/>
    </row>
    <row r="82" customFormat="false" ht="15" hidden="false" customHeight="false" outlineLevel="0" collapsed="false">
      <c r="A82" s="37"/>
      <c r="B82" s="37"/>
      <c r="C82" s="37"/>
      <c r="D82" s="37"/>
      <c r="E82" s="38"/>
      <c r="F82" s="37"/>
      <c r="G82" s="37"/>
      <c r="H82" s="37"/>
    </row>
    <row r="83" customFormat="false" ht="15" hidden="false" customHeight="false" outlineLevel="0" collapsed="false">
      <c r="A83" s="37"/>
      <c r="B83" s="37"/>
      <c r="C83" s="37"/>
      <c r="D83" s="37"/>
      <c r="E83" s="38"/>
      <c r="F83" s="37"/>
      <c r="G83" s="37"/>
      <c r="H83" s="37"/>
    </row>
    <row r="84" customFormat="false" ht="15" hidden="false" customHeight="false" outlineLevel="0" collapsed="false">
      <c r="A84" s="37"/>
      <c r="B84" s="37"/>
      <c r="C84" s="37"/>
      <c r="D84" s="37"/>
      <c r="E84" s="38"/>
      <c r="F84" s="37"/>
      <c r="G84" s="37"/>
      <c r="H84" s="37"/>
    </row>
    <row r="85" customFormat="false" ht="15" hidden="false" customHeight="false" outlineLevel="0" collapsed="false">
      <c r="A85" s="37"/>
      <c r="B85" s="37"/>
      <c r="C85" s="37"/>
      <c r="D85" s="37"/>
      <c r="E85" s="38"/>
      <c r="F85" s="37"/>
      <c r="G85" s="37"/>
      <c r="H85" s="37"/>
    </row>
    <row r="86" customFormat="false" ht="15" hidden="false" customHeight="false" outlineLevel="0" collapsed="false">
      <c r="A86" s="37"/>
      <c r="B86" s="37"/>
      <c r="C86" s="37"/>
      <c r="D86" s="37"/>
      <c r="E86" s="38"/>
      <c r="F86" s="37"/>
      <c r="G86" s="37"/>
      <c r="H86" s="37"/>
    </row>
    <row r="87" customFormat="false" ht="15" hidden="false" customHeight="false" outlineLevel="0" collapsed="false">
      <c r="A87" s="37"/>
      <c r="B87" s="37"/>
      <c r="C87" s="37"/>
      <c r="D87" s="37"/>
      <c r="E87" s="38"/>
      <c r="F87" s="37"/>
      <c r="G87" s="37"/>
      <c r="H87" s="37"/>
    </row>
    <row r="88" customFormat="false" ht="15" hidden="false" customHeight="false" outlineLevel="0" collapsed="false">
      <c r="A88" s="37"/>
      <c r="B88" s="37"/>
      <c r="C88" s="37"/>
      <c r="D88" s="37"/>
      <c r="E88" s="38"/>
      <c r="F88" s="37"/>
      <c r="G88" s="37"/>
      <c r="H88" s="37"/>
    </row>
    <row r="89" customFormat="false" ht="15" hidden="false" customHeight="false" outlineLevel="0" collapsed="false">
      <c r="A89" s="37"/>
      <c r="B89" s="37"/>
      <c r="C89" s="37"/>
      <c r="D89" s="37"/>
      <c r="E89" s="38"/>
      <c r="F89" s="37"/>
      <c r="G89" s="37"/>
      <c r="H89" s="37"/>
    </row>
    <row r="90" customFormat="false" ht="15" hidden="false" customHeight="false" outlineLevel="0" collapsed="false">
      <c r="A90" s="37"/>
      <c r="B90" s="37"/>
      <c r="C90" s="37"/>
      <c r="D90" s="37"/>
      <c r="E90" s="38"/>
      <c r="F90" s="37"/>
      <c r="G90" s="37"/>
      <c r="H90" s="37"/>
    </row>
    <row r="91" customFormat="false" ht="15" hidden="false" customHeight="false" outlineLevel="0" collapsed="false">
      <c r="A91" s="37"/>
      <c r="B91" s="37"/>
      <c r="C91" s="37"/>
      <c r="D91" s="37"/>
      <c r="E91" s="38"/>
      <c r="F91" s="37"/>
      <c r="G91" s="37"/>
      <c r="H91" s="37"/>
    </row>
    <row r="92" customFormat="false" ht="15" hidden="false" customHeight="false" outlineLevel="0" collapsed="false">
      <c r="A92" s="37"/>
      <c r="B92" s="37"/>
      <c r="C92" s="37"/>
      <c r="D92" s="37"/>
      <c r="E92" s="38"/>
      <c r="F92" s="37"/>
      <c r="G92" s="37"/>
      <c r="H92" s="37"/>
    </row>
    <row r="93" customFormat="false" ht="15" hidden="false" customHeight="false" outlineLevel="0" collapsed="false">
      <c r="A93" s="37"/>
      <c r="B93" s="37"/>
      <c r="C93" s="37"/>
      <c r="D93" s="37"/>
      <c r="E93" s="38"/>
      <c r="F93" s="37"/>
      <c r="G93" s="37"/>
      <c r="H93" s="37"/>
    </row>
    <row r="94" customFormat="false" ht="15" hidden="false" customHeight="false" outlineLevel="0" collapsed="false">
      <c r="A94" s="37"/>
      <c r="B94" s="37"/>
      <c r="C94" s="37"/>
      <c r="D94" s="37"/>
      <c r="E94" s="38"/>
      <c r="F94" s="37"/>
      <c r="G94" s="37"/>
      <c r="H94" s="37"/>
    </row>
    <row r="95" customFormat="false" ht="15" hidden="false" customHeight="false" outlineLevel="0" collapsed="false">
      <c r="A95" s="37"/>
      <c r="B95" s="37"/>
      <c r="C95" s="37"/>
      <c r="D95" s="37"/>
      <c r="E95" s="38"/>
      <c r="F95" s="37"/>
      <c r="G95" s="37"/>
      <c r="H95" s="37"/>
    </row>
    <row r="96" customFormat="false" ht="15" hidden="false" customHeight="false" outlineLevel="0" collapsed="false">
      <c r="A96" s="37"/>
      <c r="B96" s="37"/>
      <c r="C96" s="37"/>
      <c r="D96" s="37"/>
      <c r="E96" s="38"/>
      <c r="F96" s="37"/>
      <c r="G96" s="37"/>
      <c r="H96" s="37"/>
    </row>
    <row r="97" customFormat="false" ht="15" hidden="false" customHeight="false" outlineLevel="0" collapsed="false">
      <c r="A97" s="37"/>
      <c r="B97" s="37"/>
      <c r="C97" s="37"/>
      <c r="D97" s="37"/>
      <c r="E97" s="38"/>
      <c r="F97" s="37"/>
      <c r="G97" s="37"/>
      <c r="H97" s="37"/>
    </row>
    <row r="98" customFormat="false" ht="15" hidden="false" customHeight="false" outlineLevel="0" collapsed="false">
      <c r="A98" s="37"/>
      <c r="B98" s="37"/>
      <c r="C98" s="37"/>
      <c r="D98" s="37"/>
      <c r="E98" s="38"/>
      <c r="F98" s="37"/>
      <c r="G98" s="37"/>
      <c r="H98" s="37"/>
    </row>
    <row r="99" customFormat="false" ht="15" hidden="false" customHeight="false" outlineLevel="0" collapsed="false">
      <c r="A99" s="37"/>
      <c r="B99" s="37"/>
      <c r="C99" s="37"/>
      <c r="D99" s="37"/>
      <c r="E99" s="38"/>
      <c r="F99" s="37"/>
      <c r="G99" s="37"/>
      <c r="H99" s="37"/>
    </row>
    <row r="100" customFormat="false" ht="15" hidden="false" customHeight="false" outlineLevel="0" collapsed="false">
      <c r="A100" s="37"/>
      <c r="B100" s="37"/>
      <c r="C100" s="37"/>
      <c r="D100" s="37"/>
      <c r="E100" s="38"/>
      <c r="F100" s="37"/>
      <c r="G100" s="37"/>
      <c r="H100" s="37"/>
    </row>
    <row r="101" customFormat="false" ht="15" hidden="false" customHeight="false" outlineLevel="0" collapsed="false">
      <c r="A101" s="37"/>
      <c r="B101" s="37"/>
      <c r="C101" s="37"/>
      <c r="D101" s="37"/>
      <c r="E101" s="38"/>
      <c r="F101" s="37"/>
      <c r="G101" s="37"/>
      <c r="H101" s="37"/>
    </row>
    <row r="102" customFormat="false" ht="15" hidden="false" customHeight="false" outlineLevel="0" collapsed="false">
      <c r="A102" s="37"/>
      <c r="B102" s="37"/>
      <c r="C102" s="37"/>
      <c r="D102" s="37"/>
      <c r="E102" s="38"/>
      <c r="F102" s="37"/>
      <c r="G102" s="37"/>
      <c r="H102" s="37"/>
    </row>
    <row r="103" customFormat="false" ht="15" hidden="false" customHeight="false" outlineLevel="0" collapsed="false">
      <c r="A103" s="37"/>
      <c r="B103" s="37"/>
      <c r="C103" s="37"/>
      <c r="D103" s="37"/>
      <c r="E103" s="38"/>
      <c r="F103" s="37"/>
      <c r="G103" s="37"/>
      <c r="H103" s="37"/>
    </row>
    <row r="104" customFormat="false" ht="15" hidden="false" customHeight="false" outlineLevel="0" collapsed="false">
      <c r="A104" s="37"/>
      <c r="B104" s="37"/>
      <c r="C104" s="37"/>
      <c r="D104" s="37"/>
      <c r="E104" s="38"/>
      <c r="F104" s="37"/>
      <c r="G104" s="37"/>
      <c r="H104" s="37"/>
    </row>
  </sheetData>
  <autoFilter ref="A4:H104"/>
  <dataValidations count="2">
    <dataValidation allowBlank="true" error="Select a value from the dropdown list." errorStyle="stop" errorTitle="Invalid entry" operator="between" showDropDown="false" showErrorMessage="true" showInputMessage="false" sqref="C5:C104" type="list">
      <formula1>List_Department</formula1>
      <formula2>0</formula2>
    </dataValidation>
    <dataValidation allowBlank="true" error="Select a value from the dropdown list." errorStyle="stop" errorTitle="Invalid entry" operator="between" showDropDown="false" showErrorMessage="true" showInputMessage="false" sqref="H5:H104" type="list">
      <formula1>List_EmpStatus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3" style="0" width="34"/>
    <col collapsed="false" customWidth="true" hidden="false" outlineLevel="0" max="5" min="5" style="0" width="30"/>
    <col collapsed="false" customWidth="true" hidden="false" outlineLevel="0" max="6" min="6" style="0" width="44"/>
    <col collapsed="false" customWidth="true" hidden="false" outlineLevel="0" max="8" min="8" style="0" width="30"/>
    <col collapsed="false" customWidth="true" hidden="false" outlineLevel="0" max="9" min="9" style="0" width="44"/>
    <col collapsed="false" customWidth="true" hidden="false" outlineLevel="0" max="10" min="10" style="0" width="30"/>
    <col collapsed="false" customWidth="true" hidden="false" outlineLevel="0" max="12" min="12" style="0" width="30"/>
    <col collapsed="false" customWidth="true" hidden="false" outlineLevel="0" max="13" min="13" style="0" width="44"/>
    <col collapsed="false" customWidth="true" hidden="false" outlineLevel="0" max="15" min="15" style="0" width="30"/>
    <col collapsed="false" customWidth="true" hidden="false" outlineLevel="0" max="16" min="16" style="0" width="16"/>
    <col collapsed="false" customWidth="true" hidden="false" outlineLevel="0" max="17" min="17" style="0" width="44"/>
    <col collapsed="false" customWidth="true" hidden="false" outlineLevel="0" max="19" min="19" style="0" width="30"/>
    <col collapsed="false" customWidth="true" hidden="false" outlineLevel="0" max="20" min="20" style="0" width="16"/>
    <col collapsed="false" customWidth="true" hidden="false" outlineLevel="0" max="21" min="21" style="0" width="44"/>
    <col collapsed="false" customWidth="true" hidden="false" outlineLevel="0" max="23" min="23" style="0" width="24"/>
    <col collapsed="false" customWidth="true" hidden="false" outlineLevel="0" max="25" min="25" style="0" width="24"/>
    <col collapsed="false" customWidth="true" hidden="false" outlineLevel="0" max="27" min="27" style="0" width="24"/>
    <col collapsed="false" customWidth="true" hidden="false" outlineLevel="0" max="29" min="29" style="0" width="34"/>
    <col collapsed="false" customWidth="true" hidden="false" outlineLevel="0" max="31" min="31" style="0" width="24"/>
    <col collapsed="false" customWidth="true" hidden="false" outlineLevel="0" max="33" min="33" style="0" width="24"/>
    <col collapsed="false" customWidth="true" hidden="false" outlineLevel="0" max="35" min="35" style="0" width="24"/>
    <col collapsed="false" customWidth="true" hidden="false" outlineLevel="0" max="37" min="37" style="0" width="46"/>
    <col collapsed="false" customWidth="true" hidden="false" outlineLevel="0" max="38" min="38" style="0" width="10"/>
    <col collapsed="false" customWidth="true" hidden="false" outlineLevel="0" max="39" min="39" style="0" width="50"/>
  </cols>
  <sheetData>
    <row r="1" customFormat="false" ht="17.35" hidden="false" customHeight="false" outlineLevel="0" collapsed="false">
      <c r="A1" s="14" t="s">
        <v>446</v>
      </c>
    </row>
    <row r="2" customFormat="false" ht="15" hidden="false" customHeight="false" outlineLevel="0" collapsed="false">
      <c r="A2" s="2" t="s">
        <v>447</v>
      </c>
    </row>
    <row r="3" customFormat="false" ht="15" hidden="false" customHeight="false" outlineLevel="0" collapsed="false">
      <c r="A3" s="35" t="s">
        <v>448</v>
      </c>
    </row>
    <row r="4" customFormat="false" ht="15" hidden="false" customHeight="false" outlineLevel="0" collapsed="false">
      <c r="A4" s="42" t="s">
        <v>192</v>
      </c>
      <c r="C4" s="42" t="s">
        <v>227</v>
      </c>
      <c r="E4" s="42" t="s">
        <v>229</v>
      </c>
      <c r="F4" s="42" t="s">
        <v>96</v>
      </c>
      <c r="H4" s="42" t="s">
        <v>95</v>
      </c>
      <c r="I4" s="42" t="s">
        <v>96</v>
      </c>
      <c r="J4" s="42" t="s">
        <v>97</v>
      </c>
      <c r="L4" s="42" t="s">
        <v>205</v>
      </c>
      <c r="M4" s="42" t="s">
        <v>96</v>
      </c>
      <c r="O4" s="42" t="s">
        <v>81</v>
      </c>
      <c r="P4" s="42" t="s">
        <v>83</v>
      </c>
      <c r="Q4" s="42" t="s">
        <v>100</v>
      </c>
      <c r="S4" s="42" t="s">
        <v>99</v>
      </c>
      <c r="T4" s="42" t="s">
        <v>101</v>
      </c>
      <c r="U4" s="42" t="s">
        <v>100</v>
      </c>
      <c r="W4" s="42" t="s">
        <v>228</v>
      </c>
      <c r="Y4" s="42" t="s">
        <v>449</v>
      </c>
      <c r="AA4" s="42" t="s">
        <v>322</v>
      </c>
      <c r="AC4" s="42" t="s">
        <v>324</v>
      </c>
      <c r="AE4" s="42" t="s">
        <v>386</v>
      </c>
      <c r="AG4" s="42" t="s">
        <v>395</v>
      </c>
      <c r="AI4" s="42" t="s">
        <v>425</v>
      </c>
      <c r="AK4" s="42" t="s">
        <v>450</v>
      </c>
      <c r="AL4" s="42" t="s">
        <v>451</v>
      </c>
      <c r="AM4" s="42" t="s">
        <v>452</v>
      </c>
    </row>
    <row r="5" customFormat="false" ht="23.85" hidden="false" customHeight="false" outlineLevel="0" collapsed="false">
      <c r="A5" s="43" t="s">
        <v>344</v>
      </c>
      <c r="C5" s="43" t="s">
        <v>244</v>
      </c>
      <c r="E5" s="44" t="s">
        <v>453</v>
      </c>
      <c r="F5" s="44" t="s">
        <v>454</v>
      </c>
      <c r="H5" s="44" t="s">
        <v>279</v>
      </c>
      <c r="I5" s="44" t="s">
        <v>455</v>
      </c>
      <c r="J5" s="44" t="s">
        <v>400</v>
      </c>
      <c r="L5" s="44" t="s">
        <v>303</v>
      </c>
      <c r="M5" s="44" t="s">
        <v>456</v>
      </c>
      <c r="O5" s="44" t="s">
        <v>354</v>
      </c>
      <c r="P5" s="44" t="n">
        <v>10</v>
      </c>
      <c r="Q5" s="44" t="s">
        <v>457</v>
      </c>
      <c r="S5" s="44" t="s">
        <v>400</v>
      </c>
      <c r="T5" s="44" t="n">
        <v>0</v>
      </c>
      <c r="U5" s="44" t="s">
        <v>458</v>
      </c>
      <c r="W5" s="43" t="s">
        <v>245</v>
      </c>
      <c r="Y5" s="43" t="s">
        <v>289</v>
      </c>
      <c r="AA5" s="43" t="s">
        <v>363</v>
      </c>
      <c r="AC5" s="43" t="s">
        <v>333</v>
      </c>
      <c r="AE5" s="43" t="s">
        <v>398</v>
      </c>
      <c r="AG5" s="43" t="s">
        <v>414</v>
      </c>
      <c r="AI5" s="43" t="s">
        <v>428</v>
      </c>
      <c r="AK5" s="24" t="s">
        <v>459</v>
      </c>
      <c r="AL5" s="45" t="n">
        <v>12</v>
      </c>
      <c r="AM5" s="46" t="s">
        <v>460</v>
      </c>
    </row>
    <row r="6" customFormat="false" ht="23.85" hidden="false" customHeight="false" outlineLevel="0" collapsed="false">
      <c r="A6" s="43" t="s">
        <v>336</v>
      </c>
      <c r="C6" s="43" t="s">
        <v>274</v>
      </c>
      <c r="E6" s="44" t="s">
        <v>251</v>
      </c>
      <c r="F6" s="44" t="s">
        <v>461</v>
      </c>
      <c r="H6" s="44" t="s">
        <v>284</v>
      </c>
      <c r="I6" s="44" t="s">
        <v>462</v>
      </c>
      <c r="J6" s="44" t="s">
        <v>463</v>
      </c>
      <c r="L6" s="44" t="s">
        <v>300</v>
      </c>
      <c r="M6" s="44" t="s">
        <v>464</v>
      </c>
      <c r="O6" s="44" t="s">
        <v>335</v>
      </c>
      <c r="P6" s="44" t="n">
        <v>15</v>
      </c>
      <c r="Q6" s="44" t="s">
        <v>465</v>
      </c>
      <c r="S6" s="44" t="s">
        <v>419</v>
      </c>
      <c r="T6" s="44" t="n">
        <v>5</v>
      </c>
      <c r="U6" s="44" t="s">
        <v>466</v>
      </c>
      <c r="W6" s="43" t="s">
        <v>306</v>
      </c>
      <c r="Y6" s="43" t="s">
        <v>247</v>
      </c>
      <c r="AA6" s="43" t="s">
        <v>332</v>
      </c>
      <c r="AC6" s="43" t="s">
        <v>341</v>
      </c>
      <c r="AE6" s="43" t="s">
        <v>406</v>
      </c>
      <c r="AG6" s="43" t="s">
        <v>401</v>
      </c>
      <c r="AI6" s="43" t="s">
        <v>467</v>
      </c>
      <c r="AK6" s="24" t="s">
        <v>468</v>
      </c>
      <c r="AL6" s="45" t="n">
        <v>30</v>
      </c>
      <c r="AM6" s="46" t="s">
        <v>469</v>
      </c>
    </row>
    <row r="7" customFormat="false" ht="23.85" hidden="false" customHeight="false" outlineLevel="0" collapsed="false">
      <c r="A7" s="43" t="s">
        <v>371</v>
      </c>
      <c r="C7" s="43" t="s">
        <v>259</v>
      </c>
      <c r="E7" s="44" t="s">
        <v>246</v>
      </c>
      <c r="F7" s="44" t="s">
        <v>470</v>
      </c>
      <c r="H7" s="44" t="s">
        <v>197</v>
      </c>
      <c r="I7" s="44" t="s">
        <v>471</v>
      </c>
      <c r="J7" s="44" t="s">
        <v>472</v>
      </c>
      <c r="L7" s="44" t="s">
        <v>277</v>
      </c>
      <c r="M7" s="44" t="s">
        <v>473</v>
      </c>
      <c r="O7" s="44" t="s">
        <v>349</v>
      </c>
      <c r="P7" s="44" t="n">
        <v>15</v>
      </c>
      <c r="Q7" s="44" t="s">
        <v>474</v>
      </c>
      <c r="S7" s="44" t="s">
        <v>404</v>
      </c>
      <c r="T7" s="44" t="n">
        <v>15</v>
      </c>
      <c r="U7" s="44" t="s">
        <v>475</v>
      </c>
      <c r="W7" s="43" t="s">
        <v>299</v>
      </c>
      <c r="AA7" s="43" t="s">
        <v>375</v>
      </c>
      <c r="AC7" s="43" t="s">
        <v>347</v>
      </c>
      <c r="AE7" s="43" t="s">
        <v>412</v>
      </c>
      <c r="AG7" s="43" t="s">
        <v>476</v>
      </c>
      <c r="AK7" s="24" t="s">
        <v>477</v>
      </c>
      <c r="AL7" s="45" t="n">
        <v>40</v>
      </c>
      <c r="AM7" s="46" t="s">
        <v>478</v>
      </c>
    </row>
    <row r="8" customFormat="false" ht="23.85" hidden="false" customHeight="false" outlineLevel="0" collapsed="false">
      <c r="A8" s="43" t="s">
        <v>328</v>
      </c>
      <c r="C8" s="43" t="s">
        <v>479</v>
      </c>
      <c r="E8" s="44" t="s">
        <v>265</v>
      </c>
      <c r="F8" s="44" t="s">
        <v>480</v>
      </c>
      <c r="H8" s="44"/>
      <c r="I8" s="44"/>
      <c r="J8" s="44"/>
      <c r="L8" s="44" t="s">
        <v>282</v>
      </c>
      <c r="M8" s="44" t="s">
        <v>481</v>
      </c>
      <c r="O8" s="44" t="s">
        <v>327</v>
      </c>
      <c r="P8" s="44" t="n">
        <v>20</v>
      </c>
      <c r="Q8" s="44" t="s">
        <v>482</v>
      </c>
      <c r="S8" s="44" t="s">
        <v>483</v>
      </c>
      <c r="T8" s="44" t="n">
        <v>20</v>
      </c>
      <c r="U8" s="44" t="s">
        <v>484</v>
      </c>
      <c r="W8" s="43" t="s">
        <v>276</v>
      </c>
      <c r="AC8" s="43" t="s">
        <v>352</v>
      </c>
      <c r="AE8" s="43" t="s">
        <v>417</v>
      </c>
      <c r="AK8" s="24" t="s">
        <v>485</v>
      </c>
      <c r="AL8" s="45" t="n">
        <v>15</v>
      </c>
      <c r="AM8" s="46" t="s">
        <v>486</v>
      </c>
    </row>
    <row r="9" customFormat="false" ht="15" hidden="false" customHeight="false" outlineLevel="0" collapsed="false">
      <c r="A9" s="43" t="s">
        <v>443</v>
      </c>
      <c r="C9" s="43" t="s">
        <v>487</v>
      </c>
      <c r="E9" s="44"/>
      <c r="F9" s="44"/>
      <c r="H9" s="44"/>
      <c r="I9" s="44"/>
      <c r="J9" s="44"/>
      <c r="L9" s="44"/>
      <c r="M9" s="44"/>
      <c r="O9" s="44" t="s">
        <v>366</v>
      </c>
      <c r="P9" s="44" t="n">
        <v>20</v>
      </c>
      <c r="Q9" s="44" t="s">
        <v>488</v>
      </c>
      <c r="S9" s="44" t="s">
        <v>489</v>
      </c>
      <c r="T9" s="44" t="n">
        <v>30</v>
      </c>
      <c r="U9" s="44" t="s">
        <v>490</v>
      </c>
      <c r="W9" s="43" t="s">
        <v>287</v>
      </c>
      <c r="AC9" s="43" t="s">
        <v>357</v>
      </c>
      <c r="AE9" s="43" t="s">
        <v>491</v>
      </c>
      <c r="AK9" s="24" t="s">
        <v>492</v>
      </c>
      <c r="AL9" s="45" t="n">
        <v>0</v>
      </c>
      <c r="AM9" s="46" t="s">
        <v>493</v>
      </c>
    </row>
    <row r="10" customFormat="false" ht="23.85" hidden="false" customHeight="false" outlineLevel="0" collapsed="false">
      <c r="A10" s="43" t="s">
        <v>494</v>
      </c>
      <c r="C10" s="43" t="s">
        <v>264</v>
      </c>
      <c r="E10" s="44"/>
      <c r="F10" s="44"/>
      <c r="H10" s="44"/>
      <c r="I10" s="44"/>
      <c r="J10" s="44"/>
      <c r="L10" s="44"/>
      <c r="M10" s="44"/>
      <c r="O10" s="44" t="s">
        <v>343</v>
      </c>
      <c r="P10" s="44" t="n">
        <v>25</v>
      </c>
      <c r="Q10" s="44" t="s">
        <v>495</v>
      </c>
      <c r="S10" s="44" t="s">
        <v>287</v>
      </c>
      <c r="T10" s="44" t="n">
        <v>30</v>
      </c>
      <c r="U10" s="44" t="s">
        <v>496</v>
      </c>
      <c r="W10" s="43" t="s">
        <v>293</v>
      </c>
      <c r="AC10" s="43" t="s">
        <v>369</v>
      </c>
      <c r="AE10" s="43"/>
      <c r="AK10" s="24" t="s">
        <v>497</v>
      </c>
      <c r="AL10" s="45" t="n">
        <v>30</v>
      </c>
      <c r="AM10" s="46" t="s">
        <v>498</v>
      </c>
    </row>
    <row r="11" customFormat="false" ht="23.85" hidden="false" customHeight="false" outlineLevel="0" collapsed="false">
      <c r="A11" s="43"/>
      <c r="C11" s="43" t="s">
        <v>254</v>
      </c>
      <c r="E11" s="44"/>
      <c r="F11" s="44"/>
      <c r="H11" s="44"/>
      <c r="I11" s="44"/>
      <c r="J11" s="44"/>
      <c r="L11" s="44"/>
      <c r="M11" s="44"/>
      <c r="O11" s="44" t="s">
        <v>128</v>
      </c>
      <c r="P11" s="44" t="n">
        <v>40</v>
      </c>
      <c r="Q11" s="44" t="s">
        <v>499</v>
      </c>
      <c r="S11" s="44" t="s">
        <v>500</v>
      </c>
      <c r="T11" s="44" t="n">
        <v>50</v>
      </c>
      <c r="U11" s="44" t="s">
        <v>501</v>
      </c>
      <c r="W11" s="43"/>
      <c r="AC11" s="43"/>
      <c r="AE11" s="43"/>
    </row>
    <row r="12" customFormat="false" ht="15" hidden="false" customHeight="false" outlineLevel="0" collapsed="false">
      <c r="A12" s="43"/>
      <c r="C12" s="43" t="s">
        <v>502</v>
      </c>
      <c r="E12" s="44"/>
      <c r="F12" s="44"/>
      <c r="H12" s="44"/>
      <c r="I12" s="44"/>
      <c r="J12" s="44"/>
      <c r="L12" s="44"/>
      <c r="M12" s="44"/>
      <c r="O12" s="44"/>
      <c r="P12" s="44"/>
      <c r="Q12" s="44"/>
      <c r="S12" s="44"/>
      <c r="T12" s="44"/>
      <c r="U12" s="44"/>
      <c r="W12" s="43"/>
      <c r="AC12" s="43"/>
      <c r="AE12" s="43"/>
    </row>
    <row r="13" customFormat="false" ht="15" hidden="false" customHeight="false" outlineLevel="0" collapsed="false">
      <c r="A13" s="43"/>
      <c r="C13" s="43"/>
      <c r="E13" s="44"/>
      <c r="F13" s="44"/>
      <c r="H13" s="44"/>
      <c r="I13" s="44"/>
      <c r="J13" s="44"/>
      <c r="L13" s="44"/>
      <c r="M13" s="44"/>
      <c r="O13" s="44"/>
      <c r="P13" s="44"/>
      <c r="Q13" s="44"/>
      <c r="S13" s="44"/>
      <c r="T13" s="44"/>
      <c r="U13" s="44"/>
      <c r="W13" s="43"/>
      <c r="AC13" s="43"/>
      <c r="AE13" s="43"/>
    </row>
    <row r="14" customFormat="false" ht="15" hidden="false" customHeight="false" outlineLevel="0" collapsed="false">
      <c r="A14" s="43"/>
      <c r="C14" s="43"/>
      <c r="E14" s="44"/>
      <c r="F14" s="44"/>
      <c r="H14" s="44"/>
      <c r="I14" s="44"/>
      <c r="J14" s="44"/>
      <c r="L14" s="44"/>
      <c r="M14" s="44"/>
      <c r="O14" s="44"/>
      <c r="P14" s="44"/>
      <c r="Q14" s="44"/>
      <c r="S14" s="44"/>
      <c r="T14" s="44"/>
      <c r="U14" s="44"/>
      <c r="W14" s="43"/>
      <c r="AC14" s="43"/>
      <c r="AE14" s="43"/>
    </row>
    <row r="15" customFormat="false" ht="15" hidden="false" customHeight="false" outlineLevel="0" collapsed="false">
      <c r="A15" s="43"/>
      <c r="C15" s="43"/>
    </row>
    <row r="16" customFormat="false" ht="15" hidden="false" customHeight="false" outlineLevel="0" collapsed="false">
      <c r="A16" s="43"/>
      <c r="C16" s="43"/>
    </row>
    <row r="17" customFormat="false" ht="15" hidden="false" customHeight="false" outlineLevel="0" collapsed="false">
      <c r="A17" s="43"/>
      <c r="C17" s="43"/>
    </row>
    <row r="18" customFormat="false" ht="15" hidden="false" customHeight="false" outlineLevel="0" collapsed="false">
      <c r="A18" s="43"/>
      <c r="C18" s="43"/>
    </row>
    <row r="19" customFormat="false" ht="15" hidden="false" customHeight="false" outlineLevel="0" collapsed="false">
      <c r="A19" s="43"/>
      <c r="C19" s="43"/>
    </row>
    <row r="20" customFormat="false" ht="15" hidden="false" customHeight="false" outlineLevel="0" collapsed="false">
      <c r="A20" s="43"/>
      <c r="C20" s="43"/>
    </row>
    <row r="21" customFormat="false" ht="15" hidden="false" customHeight="false" outlineLevel="0" collapsed="false">
      <c r="A21" s="43"/>
      <c r="C21" s="43"/>
    </row>
    <row r="22" customFormat="false" ht="15" hidden="false" customHeight="false" outlineLevel="0" collapsed="false">
      <c r="A22" s="43"/>
      <c r="C22" s="43"/>
    </row>
    <row r="23" customFormat="false" ht="15" hidden="false" customHeight="false" outlineLevel="0" collapsed="false">
      <c r="A23" s="43"/>
      <c r="C23" s="43"/>
    </row>
    <row r="24" customFormat="false" ht="15" hidden="false" customHeight="false" outlineLevel="0" collapsed="false">
      <c r="A24" s="43"/>
      <c r="C24" s="43"/>
    </row>
    <row r="25" customFormat="false" ht="15" hidden="false" customHeight="false" outlineLevel="0" collapsed="false">
      <c r="C25" s="43"/>
    </row>
    <row r="26" customFormat="false" ht="15" hidden="false" customHeight="false" outlineLevel="0" collapsed="false">
      <c r="C26" s="43"/>
    </row>
    <row r="27" customFormat="false" ht="15" hidden="false" customHeight="false" outlineLevel="0" collapsed="false">
      <c r="C27" s="43"/>
    </row>
    <row r="28" customFormat="false" ht="15" hidden="false" customHeight="false" outlineLevel="0" collapsed="false">
      <c r="C28" s="43"/>
    </row>
    <row r="29" customFormat="false" ht="15" hidden="false" customHeight="false" outlineLevel="0" collapsed="false">
      <c r="C29" s="4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2026-09-29T16:28:08Z</dcterms:created>
  <dc:creator>openpyxl</dc:creator>
  <dc:description/>
  <dc:language>en-US</dc:language>
  <cp:lastModifiedBy/>
  <dcterms:modified xsi:type="dcterms:W3CDTF">2026-09-29T09:28:12Z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